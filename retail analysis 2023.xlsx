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ia6001\Documents\"/>
    </mc:Choice>
  </mc:AlternateContent>
  <xr:revisionPtr revIDLastSave="0" documentId="13_ncr:1_{B732B96C-512B-40EA-AA22-E095EC21A955}" xr6:coauthVersionLast="47" xr6:coauthVersionMax="47" xr10:uidLastSave="{00000000-0000-0000-0000-000000000000}"/>
  <bookViews>
    <workbookView xWindow="-110" yWindow="-110" windowWidth="19420" windowHeight="10300" activeTab="3" xr2:uid="{8F63CEE1-9C30-4FAE-A61B-5AC02BCE60E6}"/>
  </bookViews>
  <sheets>
    <sheet name="Data" sheetId="1" r:id="rId1"/>
    <sheet name="Analysis" sheetId="4" r:id="rId2"/>
    <sheet name="Dashboard" sheetId="6" r:id="rId3"/>
    <sheet name="Methodology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3" i="1"/>
  <c r="J4" i="1"/>
  <c r="J5" i="1"/>
  <c r="K1001" i="1" a="1"/>
  <c r="K1001" i="1" s="1"/>
  <c r="K1000" i="1" a="1"/>
  <c r="K1000" i="1" s="1"/>
  <c r="K999" i="1" a="1"/>
  <c r="K999" i="1" s="1"/>
  <c r="K998" i="1" a="1"/>
  <c r="K998" i="1" s="1"/>
  <c r="K997" i="1" a="1"/>
  <c r="K997" i="1" s="1"/>
  <c r="K996" i="1" a="1"/>
  <c r="K996" i="1" s="1"/>
  <c r="K995" i="1" a="1"/>
  <c r="K995" i="1" s="1"/>
  <c r="K994" i="1" a="1"/>
  <c r="K994" i="1" s="1"/>
  <c r="K993" i="1" a="1"/>
  <c r="K993" i="1" s="1"/>
  <c r="K992" i="1" a="1"/>
  <c r="K992" i="1" s="1"/>
  <c r="K991" i="1" a="1"/>
  <c r="K991" i="1" s="1"/>
  <c r="K990" i="1" a="1"/>
  <c r="K990" i="1" s="1"/>
  <c r="K989" i="1" a="1"/>
  <c r="K989" i="1" s="1"/>
  <c r="K988" i="1" a="1"/>
  <c r="K988" i="1" s="1"/>
  <c r="K987" i="1" a="1"/>
  <c r="K987" i="1" s="1"/>
  <c r="K986" i="1" a="1"/>
  <c r="K986" i="1" s="1"/>
  <c r="K985" i="1" a="1"/>
  <c r="K985" i="1" s="1"/>
  <c r="K984" i="1" a="1"/>
  <c r="K984" i="1" s="1"/>
  <c r="K983" i="1" a="1"/>
  <c r="K983" i="1" s="1"/>
  <c r="K982" i="1" a="1"/>
  <c r="K982" i="1" s="1"/>
  <c r="K981" i="1" a="1"/>
  <c r="K981" i="1" s="1"/>
  <c r="K980" i="1" a="1"/>
  <c r="K980" i="1" s="1"/>
  <c r="K979" i="1" a="1"/>
  <c r="K979" i="1" s="1"/>
  <c r="K978" i="1" a="1"/>
  <c r="K978" i="1" s="1"/>
  <c r="K977" i="1" a="1"/>
  <c r="K977" i="1" s="1"/>
  <c r="K976" i="1" a="1"/>
  <c r="K976" i="1" s="1"/>
  <c r="K975" i="1" a="1"/>
  <c r="K975" i="1" s="1"/>
  <c r="K974" i="1" a="1"/>
  <c r="K974" i="1" s="1"/>
  <c r="K973" i="1" a="1"/>
  <c r="K973" i="1" s="1"/>
  <c r="K972" i="1" a="1"/>
  <c r="K972" i="1" s="1"/>
  <c r="K971" i="1" a="1"/>
  <c r="K971" i="1" s="1"/>
  <c r="K970" i="1" a="1"/>
  <c r="K970" i="1" s="1"/>
  <c r="K969" i="1" a="1"/>
  <c r="K969" i="1" s="1"/>
  <c r="K968" i="1" a="1"/>
  <c r="K968" i="1" s="1"/>
  <c r="K967" i="1" a="1"/>
  <c r="K967" i="1" s="1"/>
  <c r="K966" i="1" a="1"/>
  <c r="K966" i="1" s="1"/>
  <c r="K965" i="1" a="1"/>
  <c r="K965" i="1" s="1"/>
  <c r="K964" i="1" a="1"/>
  <c r="K964" i="1" s="1"/>
  <c r="K963" i="1" a="1"/>
  <c r="K963" i="1" s="1"/>
  <c r="K962" i="1" a="1"/>
  <c r="K962" i="1" s="1"/>
  <c r="K961" i="1" a="1"/>
  <c r="K961" i="1" s="1"/>
  <c r="K960" i="1" a="1"/>
  <c r="K960" i="1" s="1"/>
  <c r="K959" i="1" a="1"/>
  <c r="K959" i="1" s="1"/>
  <c r="K958" i="1" a="1"/>
  <c r="K958" i="1" s="1"/>
  <c r="K957" i="1" a="1"/>
  <c r="K957" i="1" s="1"/>
  <c r="K956" i="1" a="1"/>
  <c r="K956" i="1" s="1"/>
  <c r="K955" i="1" a="1"/>
  <c r="K955" i="1" s="1"/>
  <c r="K954" i="1" a="1"/>
  <c r="K954" i="1" s="1"/>
  <c r="K953" i="1" a="1"/>
  <c r="K953" i="1" s="1"/>
  <c r="K952" i="1" a="1"/>
  <c r="K952" i="1" s="1"/>
  <c r="K951" i="1" a="1"/>
  <c r="K951" i="1" s="1"/>
  <c r="K950" i="1" a="1"/>
  <c r="K950" i="1" s="1"/>
  <c r="K949" i="1" a="1"/>
  <c r="K949" i="1" s="1"/>
  <c r="K948" i="1" a="1"/>
  <c r="K948" i="1" s="1"/>
  <c r="K947" i="1" a="1"/>
  <c r="K947" i="1" s="1"/>
  <c r="K946" i="1" a="1"/>
  <c r="K946" i="1" s="1"/>
  <c r="K945" i="1" a="1"/>
  <c r="K945" i="1" s="1"/>
  <c r="K944" i="1" a="1"/>
  <c r="K944" i="1" s="1"/>
  <c r="K943" i="1" a="1"/>
  <c r="K943" i="1" s="1"/>
  <c r="K942" i="1" a="1"/>
  <c r="K942" i="1" s="1"/>
  <c r="K941" i="1" a="1"/>
  <c r="K941" i="1" s="1"/>
  <c r="K940" i="1" a="1"/>
  <c r="K940" i="1" s="1"/>
  <c r="K939" i="1" a="1"/>
  <c r="K939" i="1" s="1"/>
  <c r="K938" i="1" a="1"/>
  <c r="K938" i="1" s="1"/>
  <c r="K937" i="1" a="1"/>
  <c r="K937" i="1" s="1"/>
  <c r="K936" i="1" a="1"/>
  <c r="K936" i="1" s="1"/>
  <c r="K935" i="1" a="1"/>
  <c r="K935" i="1" s="1"/>
  <c r="K934" i="1" a="1"/>
  <c r="K934" i="1" s="1"/>
  <c r="K933" i="1" a="1"/>
  <c r="K933" i="1" s="1"/>
  <c r="K932" i="1" a="1"/>
  <c r="K932" i="1" s="1"/>
  <c r="K931" i="1" a="1"/>
  <c r="K931" i="1" s="1"/>
  <c r="K930" i="1" a="1"/>
  <c r="K930" i="1" s="1"/>
  <c r="K929" i="1" a="1"/>
  <c r="K929" i="1" s="1"/>
  <c r="K928" i="1" a="1"/>
  <c r="K928" i="1" s="1"/>
  <c r="K927" i="1" a="1"/>
  <c r="K927" i="1" s="1"/>
  <c r="K926" i="1" a="1"/>
  <c r="K926" i="1" s="1"/>
  <c r="K925" i="1" a="1"/>
  <c r="K925" i="1" s="1"/>
  <c r="K924" i="1" a="1"/>
  <c r="K924" i="1" s="1"/>
  <c r="K923" i="1" a="1"/>
  <c r="K923" i="1" s="1"/>
  <c r="K922" i="1" a="1"/>
  <c r="K922" i="1" s="1"/>
  <c r="K921" i="1" a="1"/>
  <c r="K921" i="1" s="1"/>
  <c r="K920" i="1" a="1"/>
  <c r="K920" i="1" s="1"/>
  <c r="K919" i="1" a="1"/>
  <c r="K919" i="1" s="1"/>
  <c r="K918" i="1" a="1"/>
  <c r="K918" i="1" s="1"/>
  <c r="K917" i="1" a="1"/>
  <c r="K917" i="1" s="1"/>
  <c r="K916" i="1" a="1"/>
  <c r="K916" i="1" s="1"/>
  <c r="K915" i="1" a="1"/>
  <c r="K915" i="1" s="1"/>
  <c r="K914" i="1" a="1"/>
  <c r="K914" i="1" s="1"/>
  <c r="K913" i="1" a="1"/>
  <c r="K913" i="1" s="1"/>
  <c r="K912" i="1" a="1"/>
  <c r="K912" i="1" s="1"/>
  <c r="K911" i="1" a="1"/>
  <c r="K911" i="1" s="1"/>
  <c r="K910" i="1" a="1"/>
  <c r="K910" i="1" s="1"/>
  <c r="K909" i="1" a="1"/>
  <c r="K909" i="1" s="1"/>
  <c r="K908" i="1" a="1"/>
  <c r="K908" i="1" s="1"/>
  <c r="K907" i="1" a="1"/>
  <c r="K907" i="1" s="1"/>
  <c r="K906" i="1" a="1"/>
  <c r="K906" i="1" s="1"/>
  <c r="K905" i="1" a="1"/>
  <c r="K905" i="1" s="1"/>
  <c r="K904" i="1" a="1"/>
  <c r="K904" i="1" s="1"/>
  <c r="K903" i="1" a="1"/>
  <c r="K903" i="1" s="1"/>
  <c r="K902" i="1" a="1"/>
  <c r="K902" i="1" s="1"/>
  <c r="K901" i="1" a="1"/>
  <c r="K901" i="1" s="1"/>
  <c r="K900" i="1" a="1"/>
  <c r="K900" i="1" s="1"/>
  <c r="K899" i="1" a="1"/>
  <c r="K899" i="1" s="1"/>
  <c r="K898" i="1" a="1"/>
  <c r="K898" i="1" s="1"/>
  <c r="K897" i="1" a="1"/>
  <c r="K897" i="1" s="1"/>
  <c r="K896" i="1" a="1"/>
  <c r="K896" i="1" s="1"/>
  <c r="K895" i="1" a="1"/>
  <c r="K895" i="1" s="1"/>
  <c r="K894" i="1" a="1"/>
  <c r="K894" i="1" s="1"/>
  <c r="K893" i="1" a="1"/>
  <c r="K893" i="1" s="1"/>
  <c r="K892" i="1" a="1"/>
  <c r="K892" i="1" s="1"/>
  <c r="K891" i="1" a="1"/>
  <c r="K891" i="1" s="1"/>
  <c r="K890" i="1" a="1"/>
  <c r="K890" i="1" s="1"/>
  <c r="K889" i="1" a="1"/>
  <c r="K889" i="1" s="1"/>
  <c r="K888" i="1" a="1"/>
  <c r="K888" i="1" s="1"/>
  <c r="K887" i="1" a="1"/>
  <c r="K887" i="1" s="1"/>
  <c r="K886" i="1" a="1"/>
  <c r="K886" i="1" s="1"/>
  <c r="K885" i="1" a="1"/>
  <c r="K885" i="1" s="1"/>
  <c r="K884" i="1" a="1"/>
  <c r="K884" i="1" s="1"/>
  <c r="K883" i="1" a="1"/>
  <c r="K883" i="1" s="1"/>
  <c r="K882" i="1" a="1"/>
  <c r="K882" i="1" s="1"/>
  <c r="K881" i="1" a="1"/>
  <c r="K881" i="1" s="1"/>
  <c r="K880" i="1" a="1"/>
  <c r="K880" i="1" s="1"/>
  <c r="K879" i="1" a="1"/>
  <c r="K879" i="1" s="1"/>
  <c r="K878" i="1" a="1"/>
  <c r="K878" i="1" s="1"/>
  <c r="K877" i="1" a="1"/>
  <c r="K877" i="1" s="1"/>
  <c r="K876" i="1" a="1"/>
  <c r="K876" i="1" s="1"/>
  <c r="K875" i="1" a="1"/>
  <c r="K875" i="1" s="1"/>
  <c r="K874" i="1" a="1"/>
  <c r="K874" i="1" s="1"/>
  <c r="K873" i="1" a="1"/>
  <c r="K873" i="1" s="1"/>
  <c r="K872" i="1" a="1"/>
  <c r="K872" i="1" s="1"/>
  <c r="K871" i="1" a="1"/>
  <c r="K871" i="1" s="1"/>
  <c r="K870" i="1" a="1"/>
  <c r="K870" i="1" s="1"/>
  <c r="K869" i="1" a="1"/>
  <c r="K869" i="1" s="1"/>
  <c r="K868" i="1" a="1"/>
  <c r="K868" i="1" s="1"/>
  <c r="K867" i="1" a="1"/>
  <c r="K867" i="1" s="1"/>
  <c r="K866" i="1" a="1"/>
  <c r="K866" i="1" s="1"/>
  <c r="K865" i="1" a="1"/>
  <c r="K865" i="1" s="1"/>
  <c r="K864" i="1" a="1"/>
  <c r="K864" i="1" s="1"/>
  <c r="K863" i="1" a="1"/>
  <c r="K863" i="1" s="1"/>
  <c r="K862" i="1" a="1"/>
  <c r="K862" i="1" s="1"/>
  <c r="K861" i="1" a="1"/>
  <c r="K861" i="1" s="1"/>
  <c r="K860" i="1" a="1"/>
  <c r="K860" i="1" s="1"/>
  <c r="K859" i="1" a="1"/>
  <c r="K859" i="1" s="1"/>
  <c r="K858" i="1" a="1"/>
  <c r="K858" i="1" s="1"/>
  <c r="K857" i="1" a="1"/>
  <c r="K857" i="1" s="1"/>
  <c r="K856" i="1" a="1"/>
  <c r="K856" i="1" s="1"/>
  <c r="K855" i="1" a="1"/>
  <c r="K855" i="1" s="1"/>
  <c r="K854" i="1" a="1"/>
  <c r="K854" i="1" s="1"/>
  <c r="K853" i="1" a="1"/>
  <c r="K853" i="1" s="1"/>
  <c r="K852" i="1" a="1"/>
  <c r="K852" i="1" s="1"/>
  <c r="K851" i="1" a="1"/>
  <c r="K851" i="1" s="1"/>
  <c r="K850" i="1" a="1"/>
  <c r="K850" i="1" s="1"/>
  <c r="K849" i="1" a="1"/>
  <c r="K849" i="1" s="1"/>
  <c r="K848" i="1" a="1"/>
  <c r="K848" i="1" s="1"/>
  <c r="K847" i="1" a="1"/>
  <c r="K847" i="1" s="1"/>
  <c r="K846" i="1" a="1"/>
  <c r="K846" i="1" s="1"/>
  <c r="K845" i="1" a="1"/>
  <c r="K845" i="1" s="1"/>
  <c r="K844" i="1" a="1"/>
  <c r="K844" i="1" s="1"/>
  <c r="K843" i="1" a="1"/>
  <c r="K843" i="1" s="1"/>
  <c r="K842" i="1" a="1"/>
  <c r="K842" i="1" s="1"/>
  <c r="K841" i="1" a="1"/>
  <c r="K841" i="1" s="1"/>
  <c r="K840" i="1" a="1"/>
  <c r="K840" i="1" s="1"/>
  <c r="K839" i="1" a="1"/>
  <c r="K839" i="1" s="1"/>
  <c r="K838" i="1" a="1"/>
  <c r="K838" i="1" s="1"/>
  <c r="K837" i="1" a="1"/>
  <c r="K837" i="1" s="1"/>
  <c r="K836" i="1" a="1"/>
  <c r="K836" i="1" s="1"/>
  <c r="K835" i="1" a="1"/>
  <c r="K835" i="1" s="1"/>
  <c r="K834" i="1" a="1"/>
  <c r="K834" i="1" s="1"/>
  <c r="K833" i="1" a="1"/>
  <c r="K833" i="1" s="1"/>
  <c r="K832" i="1" a="1"/>
  <c r="K832" i="1" s="1"/>
  <c r="K831" i="1" a="1"/>
  <c r="K831" i="1" s="1"/>
  <c r="K830" i="1" a="1"/>
  <c r="K830" i="1" s="1"/>
  <c r="K829" i="1" a="1"/>
  <c r="K829" i="1" s="1"/>
  <c r="K828" i="1" a="1"/>
  <c r="K828" i="1" s="1"/>
  <c r="K827" i="1" a="1"/>
  <c r="K827" i="1" s="1"/>
  <c r="K826" i="1" a="1"/>
  <c r="K826" i="1" s="1"/>
  <c r="K825" i="1" a="1"/>
  <c r="K825" i="1" s="1"/>
  <c r="K824" i="1" a="1"/>
  <c r="K824" i="1" s="1"/>
  <c r="K823" i="1" a="1"/>
  <c r="K823" i="1" s="1"/>
  <c r="K822" i="1" a="1"/>
  <c r="K822" i="1" s="1"/>
  <c r="K821" i="1" a="1"/>
  <c r="K821" i="1" s="1"/>
  <c r="K820" i="1" a="1"/>
  <c r="K820" i="1" s="1"/>
  <c r="K819" i="1" a="1"/>
  <c r="K819" i="1" s="1"/>
  <c r="K818" i="1" a="1"/>
  <c r="K818" i="1" s="1"/>
  <c r="K817" i="1" a="1"/>
  <c r="K817" i="1" s="1"/>
  <c r="K816" i="1" a="1"/>
  <c r="K816" i="1" s="1"/>
  <c r="K815" i="1" a="1"/>
  <c r="K815" i="1" s="1"/>
  <c r="K814" i="1" a="1"/>
  <c r="K814" i="1" s="1"/>
  <c r="K813" i="1" a="1"/>
  <c r="K813" i="1" s="1"/>
  <c r="K812" i="1" a="1"/>
  <c r="K812" i="1" s="1"/>
  <c r="K811" i="1" a="1"/>
  <c r="K811" i="1" s="1"/>
  <c r="K810" i="1" a="1"/>
  <c r="K810" i="1" s="1"/>
  <c r="K809" i="1" a="1"/>
  <c r="K809" i="1" s="1"/>
  <c r="K808" i="1" a="1"/>
  <c r="K808" i="1" s="1"/>
  <c r="K807" i="1" a="1"/>
  <c r="K807" i="1" s="1"/>
  <c r="K806" i="1" a="1"/>
  <c r="K806" i="1" s="1"/>
  <c r="K805" i="1" a="1"/>
  <c r="K805" i="1" s="1"/>
  <c r="K804" i="1" a="1"/>
  <c r="K804" i="1" s="1"/>
  <c r="K803" i="1" a="1"/>
  <c r="K803" i="1" s="1"/>
  <c r="K802" i="1" a="1"/>
  <c r="K802" i="1" s="1"/>
  <c r="K801" i="1" a="1"/>
  <c r="K801" i="1" s="1"/>
  <c r="K800" i="1" a="1"/>
  <c r="K800" i="1" s="1"/>
  <c r="K799" i="1" a="1"/>
  <c r="K799" i="1" s="1"/>
  <c r="K798" i="1" a="1"/>
  <c r="K798" i="1" s="1"/>
  <c r="K797" i="1" a="1"/>
  <c r="K797" i="1" s="1"/>
  <c r="K796" i="1" a="1"/>
  <c r="K796" i="1" s="1"/>
  <c r="K795" i="1" a="1"/>
  <c r="K795" i="1" s="1"/>
  <c r="K794" i="1" a="1"/>
  <c r="K794" i="1" s="1"/>
  <c r="K793" i="1" a="1"/>
  <c r="K793" i="1" s="1"/>
  <c r="K792" i="1" a="1"/>
  <c r="K792" i="1" s="1"/>
  <c r="K791" i="1" a="1"/>
  <c r="K791" i="1" s="1"/>
  <c r="K790" i="1" a="1"/>
  <c r="K790" i="1" s="1"/>
  <c r="K789" i="1" a="1"/>
  <c r="K789" i="1" s="1"/>
  <c r="K788" i="1" a="1"/>
  <c r="K788" i="1" s="1"/>
  <c r="K787" i="1" a="1"/>
  <c r="K787" i="1" s="1"/>
  <c r="K786" i="1" a="1"/>
  <c r="K786" i="1" s="1"/>
  <c r="K785" i="1" a="1"/>
  <c r="K785" i="1" s="1"/>
  <c r="K784" i="1" a="1"/>
  <c r="K784" i="1" s="1"/>
  <c r="K783" i="1" a="1"/>
  <c r="K783" i="1" s="1"/>
  <c r="K782" i="1" a="1"/>
  <c r="K782" i="1" s="1"/>
  <c r="K781" i="1" a="1"/>
  <c r="K781" i="1" s="1"/>
  <c r="K780" i="1" a="1"/>
  <c r="K780" i="1" s="1"/>
  <c r="K779" i="1" a="1"/>
  <c r="K779" i="1" s="1"/>
  <c r="K778" i="1" a="1"/>
  <c r="K778" i="1" s="1"/>
  <c r="K777" i="1" a="1"/>
  <c r="K777" i="1" s="1"/>
  <c r="K776" i="1" a="1"/>
  <c r="K776" i="1" s="1"/>
  <c r="K775" i="1" a="1"/>
  <c r="K775" i="1" s="1"/>
  <c r="K774" i="1" a="1"/>
  <c r="K774" i="1" s="1"/>
  <c r="K773" i="1" a="1"/>
  <c r="K773" i="1" s="1"/>
  <c r="K772" i="1" a="1"/>
  <c r="K772" i="1" s="1"/>
  <c r="K771" i="1" a="1"/>
  <c r="K771" i="1" s="1"/>
  <c r="K770" i="1" a="1"/>
  <c r="K770" i="1" s="1"/>
  <c r="K769" i="1" a="1"/>
  <c r="K769" i="1" s="1"/>
  <c r="K768" i="1" a="1"/>
  <c r="K768" i="1" s="1"/>
  <c r="K767" i="1" a="1"/>
  <c r="K767" i="1" s="1"/>
  <c r="K766" i="1" a="1"/>
  <c r="K766" i="1" s="1"/>
  <c r="K765" i="1" a="1"/>
  <c r="K765" i="1" s="1"/>
  <c r="K764" i="1" a="1"/>
  <c r="K764" i="1" s="1"/>
  <c r="K763" i="1" a="1"/>
  <c r="K763" i="1" s="1"/>
  <c r="K762" i="1" a="1"/>
  <c r="K762" i="1" s="1"/>
  <c r="K761" i="1" a="1"/>
  <c r="K761" i="1" s="1"/>
  <c r="K760" i="1" a="1"/>
  <c r="K760" i="1" s="1"/>
  <c r="K759" i="1" a="1"/>
  <c r="K759" i="1" s="1"/>
  <c r="K758" i="1" a="1"/>
  <c r="K758" i="1" s="1"/>
  <c r="K757" i="1" a="1"/>
  <c r="K757" i="1" s="1"/>
  <c r="K756" i="1" a="1"/>
  <c r="K756" i="1" s="1"/>
  <c r="K755" i="1" a="1"/>
  <c r="K755" i="1" s="1"/>
  <c r="K754" i="1" a="1"/>
  <c r="K754" i="1" s="1"/>
  <c r="K753" i="1" a="1"/>
  <c r="K753" i="1" s="1"/>
  <c r="K752" i="1" a="1"/>
  <c r="K752" i="1" s="1"/>
  <c r="K751" i="1" a="1"/>
  <c r="K751" i="1" s="1"/>
  <c r="K750" i="1" a="1"/>
  <c r="K750" i="1" s="1"/>
  <c r="K749" i="1" a="1"/>
  <c r="K749" i="1" s="1"/>
  <c r="K748" i="1" a="1"/>
  <c r="K748" i="1" s="1"/>
  <c r="K747" i="1" a="1"/>
  <c r="K747" i="1" s="1"/>
  <c r="K746" i="1" a="1"/>
  <c r="K746" i="1" s="1"/>
  <c r="K745" i="1" a="1"/>
  <c r="K745" i="1" s="1"/>
  <c r="K744" i="1" a="1"/>
  <c r="K744" i="1" s="1"/>
  <c r="K743" i="1" a="1"/>
  <c r="K743" i="1" s="1"/>
  <c r="K742" i="1" a="1"/>
  <c r="K742" i="1" s="1"/>
  <c r="K741" i="1" a="1"/>
  <c r="K741" i="1" s="1"/>
  <c r="K740" i="1" a="1"/>
  <c r="K740" i="1" s="1"/>
  <c r="K739" i="1" a="1"/>
  <c r="K739" i="1" s="1"/>
  <c r="K738" i="1" a="1"/>
  <c r="K738" i="1" s="1"/>
  <c r="K737" i="1" a="1"/>
  <c r="K737" i="1" s="1"/>
  <c r="K736" i="1" a="1"/>
  <c r="K736" i="1" s="1"/>
  <c r="K735" i="1" a="1"/>
  <c r="K735" i="1" s="1"/>
  <c r="K734" i="1" a="1"/>
  <c r="K734" i="1" s="1"/>
  <c r="K733" i="1" a="1"/>
  <c r="K733" i="1" s="1"/>
  <c r="K732" i="1" a="1"/>
  <c r="K732" i="1" s="1"/>
  <c r="K731" i="1" a="1"/>
  <c r="K731" i="1" s="1"/>
  <c r="K730" i="1" a="1"/>
  <c r="K730" i="1" s="1"/>
  <c r="K729" i="1" a="1"/>
  <c r="K729" i="1" s="1"/>
  <c r="K728" i="1" a="1"/>
  <c r="K728" i="1" s="1"/>
  <c r="K727" i="1" a="1"/>
  <c r="K727" i="1" s="1"/>
  <c r="K726" i="1" a="1"/>
  <c r="K726" i="1" s="1"/>
  <c r="K725" i="1" a="1"/>
  <c r="K725" i="1" s="1"/>
  <c r="K724" i="1" a="1"/>
  <c r="K724" i="1" s="1"/>
  <c r="K723" i="1" a="1"/>
  <c r="K723" i="1" s="1"/>
  <c r="K722" i="1" a="1"/>
  <c r="K722" i="1" s="1"/>
  <c r="K721" i="1" a="1"/>
  <c r="K721" i="1" s="1"/>
  <c r="K720" i="1" a="1"/>
  <c r="K720" i="1" s="1"/>
  <c r="K719" i="1" a="1"/>
  <c r="K719" i="1" s="1"/>
  <c r="K718" i="1" a="1"/>
  <c r="K718" i="1" s="1"/>
  <c r="K717" i="1" a="1"/>
  <c r="K717" i="1" s="1"/>
  <c r="K716" i="1" a="1"/>
  <c r="K716" i="1" s="1"/>
  <c r="K715" i="1" a="1"/>
  <c r="K715" i="1" s="1"/>
  <c r="K714" i="1" a="1"/>
  <c r="K714" i="1" s="1"/>
  <c r="K713" i="1" a="1"/>
  <c r="K713" i="1" s="1"/>
  <c r="K712" i="1" a="1"/>
  <c r="K712" i="1" s="1"/>
  <c r="K711" i="1" a="1"/>
  <c r="K711" i="1" s="1"/>
  <c r="K710" i="1" a="1"/>
  <c r="K710" i="1" s="1"/>
  <c r="K709" i="1" a="1"/>
  <c r="K709" i="1" s="1"/>
  <c r="K708" i="1" a="1"/>
  <c r="K708" i="1" s="1"/>
  <c r="K707" i="1" a="1"/>
  <c r="K707" i="1" s="1"/>
  <c r="K706" i="1" a="1"/>
  <c r="K706" i="1" s="1"/>
  <c r="K705" i="1" a="1"/>
  <c r="K705" i="1" s="1"/>
  <c r="K704" i="1" a="1"/>
  <c r="K704" i="1" s="1"/>
  <c r="K703" i="1" a="1"/>
  <c r="K703" i="1" s="1"/>
  <c r="K702" i="1" a="1"/>
  <c r="K702" i="1" s="1"/>
  <c r="K701" i="1" a="1"/>
  <c r="K701" i="1" s="1"/>
  <c r="K700" i="1" a="1"/>
  <c r="K700" i="1" s="1"/>
  <c r="K699" i="1" a="1"/>
  <c r="K699" i="1" s="1"/>
  <c r="K698" i="1" a="1"/>
  <c r="K698" i="1" s="1"/>
  <c r="K697" i="1" a="1"/>
  <c r="K697" i="1" s="1"/>
  <c r="K696" i="1" a="1"/>
  <c r="K696" i="1" s="1"/>
  <c r="K695" i="1" a="1"/>
  <c r="K695" i="1" s="1"/>
  <c r="K694" i="1" a="1"/>
  <c r="K694" i="1" s="1"/>
  <c r="K693" i="1" a="1"/>
  <c r="K693" i="1" s="1"/>
  <c r="K692" i="1" a="1"/>
  <c r="K692" i="1" s="1"/>
  <c r="K691" i="1" a="1"/>
  <c r="K691" i="1" s="1"/>
  <c r="K690" i="1" a="1"/>
  <c r="K690" i="1" s="1"/>
  <c r="K689" i="1" a="1"/>
  <c r="K689" i="1" s="1"/>
  <c r="K688" i="1" a="1"/>
  <c r="K688" i="1" s="1"/>
  <c r="K687" i="1" a="1"/>
  <c r="K687" i="1" s="1"/>
  <c r="K686" i="1" a="1"/>
  <c r="K686" i="1" s="1"/>
  <c r="K685" i="1" a="1"/>
  <c r="K685" i="1" s="1"/>
  <c r="K684" i="1" a="1"/>
  <c r="K684" i="1" s="1"/>
  <c r="K683" i="1" a="1"/>
  <c r="K683" i="1" s="1"/>
  <c r="K682" i="1" a="1"/>
  <c r="K682" i="1" s="1"/>
  <c r="K681" i="1" a="1"/>
  <c r="K681" i="1" s="1"/>
  <c r="K680" i="1" a="1"/>
  <c r="K680" i="1" s="1"/>
  <c r="K679" i="1" a="1"/>
  <c r="K679" i="1" s="1"/>
  <c r="K678" i="1" a="1"/>
  <c r="K678" i="1" s="1"/>
  <c r="K677" i="1" a="1"/>
  <c r="K677" i="1" s="1"/>
  <c r="K676" i="1" a="1"/>
  <c r="K676" i="1" s="1"/>
  <c r="K675" i="1" a="1"/>
  <c r="K675" i="1" s="1"/>
  <c r="K674" i="1" a="1"/>
  <c r="K674" i="1" s="1"/>
  <c r="K673" i="1" a="1"/>
  <c r="K673" i="1" s="1"/>
  <c r="K672" i="1" a="1"/>
  <c r="K672" i="1" s="1"/>
  <c r="K671" i="1" a="1"/>
  <c r="K671" i="1" s="1"/>
  <c r="K670" i="1" a="1"/>
  <c r="K670" i="1" s="1"/>
  <c r="K669" i="1" a="1"/>
  <c r="K669" i="1" s="1"/>
  <c r="K668" i="1" a="1"/>
  <c r="K668" i="1" s="1"/>
  <c r="K667" i="1" a="1"/>
  <c r="K667" i="1" s="1"/>
  <c r="K666" i="1" a="1"/>
  <c r="K666" i="1" s="1"/>
  <c r="K665" i="1" a="1"/>
  <c r="K665" i="1" s="1"/>
  <c r="K664" i="1" a="1"/>
  <c r="K664" i="1" s="1"/>
  <c r="K663" i="1" a="1"/>
  <c r="K663" i="1" s="1"/>
  <c r="K662" i="1" a="1"/>
  <c r="K662" i="1" s="1"/>
  <c r="K661" i="1" a="1"/>
  <c r="K661" i="1" s="1"/>
  <c r="K660" i="1" a="1"/>
  <c r="K660" i="1" s="1"/>
  <c r="K659" i="1" a="1"/>
  <c r="K659" i="1" s="1"/>
  <c r="K658" i="1" a="1"/>
  <c r="K658" i="1" s="1"/>
  <c r="K657" i="1" a="1"/>
  <c r="K657" i="1" s="1"/>
  <c r="K656" i="1" a="1"/>
  <c r="K656" i="1" s="1"/>
  <c r="K655" i="1" a="1"/>
  <c r="K655" i="1" s="1"/>
  <c r="K654" i="1" a="1"/>
  <c r="K654" i="1" s="1"/>
  <c r="K653" i="1" a="1"/>
  <c r="K653" i="1" s="1"/>
  <c r="K652" i="1" a="1"/>
  <c r="K652" i="1" s="1"/>
  <c r="K651" i="1" a="1"/>
  <c r="K651" i="1" s="1"/>
  <c r="K650" i="1" a="1"/>
  <c r="K650" i="1" s="1"/>
  <c r="K649" i="1" a="1"/>
  <c r="K649" i="1" s="1"/>
  <c r="K648" i="1" a="1"/>
  <c r="K648" i="1" s="1"/>
  <c r="K647" i="1" a="1"/>
  <c r="K647" i="1" s="1"/>
  <c r="K646" i="1" a="1"/>
  <c r="K646" i="1" s="1"/>
  <c r="K645" i="1" a="1"/>
  <c r="K645" i="1" s="1"/>
  <c r="K644" i="1" a="1"/>
  <c r="K644" i="1" s="1"/>
  <c r="K643" i="1" a="1"/>
  <c r="K643" i="1" s="1"/>
  <c r="K642" i="1" a="1"/>
  <c r="K642" i="1" s="1"/>
  <c r="K641" i="1" a="1"/>
  <c r="K641" i="1" s="1"/>
  <c r="K640" i="1" a="1"/>
  <c r="K640" i="1" s="1"/>
  <c r="K639" i="1" a="1"/>
  <c r="K639" i="1" s="1"/>
  <c r="K638" i="1" a="1"/>
  <c r="K638" i="1" s="1"/>
  <c r="K637" i="1" a="1"/>
  <c r="K637" i="1" s="1"/>
  <c r="K636" i="1" a="1"/>
  <c r="K636" i="1" s="1"/>
  <c r="K635" i="1" a="1"/>
  <c r="K635" i="1" s="1"/>
  <c r="K634" i="1" a="1"/>
  <c r="K634" i="1" s="1"/>
  <c r="K633" i="1" a="1"/>
  <c r="K633" i="1" s="1"/>
  <c r="K632" i="1" a="1"/>
  <c r="K632" i="1" s="1"/>
  <c r="K631" i="1" a="1"/>
  <c r="K631" i="1" s="1"/>
  <c r="K630" i="1" a="1"/>
  <c r="K630" i="1" s="1"/>
  <c r="K629" i="1" a="1"/>
  <c r="K629" i="1" s="1"/>
  <c r="K628" i="1" a="1"/>
  <c r="K628" i="1" s="1"/>
  <c r="K627" i="1" a="1"/>
  <c r="K627" i="1" s="1"/>
  <c r="K626" i="1" a="1"/>
  <c r="K626" i="1" s="1"/>
  <c r="K625" i="1" a="1"/>
  <c r="K625" i="1" s="1"/>
  <c r="K624" i="1" a="1"/>
  <c r="K624" i="1" s="1"/>
  <c r="K623" i="1" a="1"/>
  <c r="K623" i="1" s="1"/>
  <c r="K622" i="1" a="1"/>
  <c r="K622" i="1" s="1"/>
  <c r="K621" i="1" a="1"/>
  <c r="K621" i="1" s="1"/>
  <c r="K620" i="1" a="1"/>
  <c r="K620" i="1" s="1"/>
  <c r="K619" i="1" a="1"/>
  <c r="K619" i="1" s="1"/>
  <c r="K618" i="1" a="1"/>
  <c r="K618" i="1" s="1"/>
  <c r="K617" i="1" a="1"/>
  <c r="K617" i="1" s="1"/>
  <c r="K616" i="1" a="1"/>
  <c r="K616" i="1" s="1"/>
  <c r="K615" i="1" a="1"/>
  <c r="K615" i="1" s="1"/>
  <c r="K614" i="1" a="1"/>
  <c r="K614" i="1" s="1"/>
  <c r="K613" i="1" a="1"/>
  <c r="K613" i="1" s="1"/>
  <c r="K612" i="1" a="1"/>
  <c r="K612" i="1" s="1"/>
  <c r="K611" i="1" a="1"/>
  <c r="K611" i="1" s="1"/>
  <c r="K610" i="1" a="1"/>
  <c r="K610" i="1" s="1"/>
  <c r="K609" i="1" a="1"/>
  <c r="K609" i="1" s="1"/>
  <c r="K608" i="1" a="1"/>
  <c r="K608" i="1" s="1"/>
  <c r="K607" i="1" a="1"/>
  <c r="K607" i="1" s="1"/>
  <c r="K606" i="1" a="1"/>
  <c r="K606" i="1" s="1"/>
  <c r="K605" i="1" a="1"/>
  <c r="K605" i="1" s="1"/>
  <c r="K604" i="1" a="1"/>
  <c r="K604" i="1" s="1"/>
  <c r="K603" i="1" a="1"/>
  <c r="K603" i="1" s="1"/>
  <c r="K602" i="1" a="1"/>
  <c r="K602" i="1" s="1"/>
  <c r="K601" i="1" a="1"/>
  <c r="K601" i="1" s="1"/>
  <c r="K600" i="1" a="1"/>
  <c r="K600" i="1" s="1"/>
  <c r="K599" i="1" a="1"/>
  <c r="K599" i="1" s="1"/>
  <c r="K598" i="1" a="1"/>
  <c r="K598" i="1" s="1"/>
  <c r="K597" i="1" a="1"/>
  <c r="K597" i="1" s="1"/>
  <c r="K596" i="1" a="1"/>
  <c r="K596" i="1" s="1"/>
  <c r="K595" i="1" a="1"/>
  <c r="K595" i="1" s="1"/>
  <c r="K594" i="1" a="1"/>
  <c r="K594" i="1" s="1"/>
  <c r="K593" i="1" a="1"/>
  <c r="K593" i="1" s="1"/>
  <c r="K592" i="1" a="1"/>
  <c r="K592" i="1" s="1"/>
  <c r="K591" i="1" a="1"/>
  <c r="K591" i="1" s="1"/>
  <c r="K590" i="1" a="1"/>
  <c r="K590" i="1" s="1"/>
  <c r="K589" i="1" a="1"/>
  <c r="K589" i="1" s="1"/>
  <c r="K588" i="1" a="1"/>
  <c r="K588" i="1" s="1"/>
  <c r="K587" i="1" a="1"/>
  <c r="K587" i="1" s="1"/>
  <c r="K586" i="1" a="1"/>
  <c r="K586" i="1" s="1"/>
  <c r="K585" i="1" a="1"/>
  <c r="K585" i="1" s="1"/>
  <c r="K584" i="1" a="1"/>
  <c r="K584" i="1" s="1"/>
  <c r="K583" i="1" a="1"/>
  <c r="K583" i="1" s="1"/>
  <c r="K582" i="1" a="1"/>
  <c r="K582" i="1" s="1"/>
  <c r="K581" i="1" a="1"/>
  <c r="K581" i="1" s="1"/>
  <c r="K580" i="1" a="1"/>
  <c r="K580" i="1" s="1"/>
  <c r="K579" i="1" a="1"/>
  <c r="K579" i="1" s="1"/>
  <c r="K578" i="1" a="1"/>
  <c r="K578" i="1" s="1"/>
  <c r="K577" i="1" a="1"/>
  <c r="K577" i="1" s="1"/>
  <c r="K576" i="1" a="1"/>
  <c r="K576" i="1" s="1"/>
  <c r="K575" i="1" a="1"/>
  <c r="K575" i="1" s="1"/>
  <c r="K574" i="1" a="1"/>
  <c r="K574" i="1" s="1"/>
  <c r="K573" i="1" a="1"/>
  <c r="K573" i="1" s="1"/>
  <c r="K572" i="1" a="1"/>
  <c r="K572" i="1" s="1"/>
  <c r="K571" i="1" a="1"/>
  <c r="K571" i="1" s="1"/>
  <c r="K570" i="1" a="1"/>
  <c r="K570" i="1" s="1"/>
  <c r="K569" i="1" a="1"/>
  <c r="K569" i="1" s="1"/>
  <c r="K568" i="1" a="1"/>
  <c r="K568" i="1" s="1"/>
  <c r="K567" i="1" a="1"/>
  <c r="K567" i="1" s="1"/>
  <c r="K566" i="1" a="1"/>
  <c r="K566" i="1" s="1"/>
  <c r="K565" i="1" a="1"/>
  <c r="K565" i="1" s="1"/>
  <c r="K564" i="1" a="1"/>
  <c r="K564" i="1" s="1"/>
  <c r="K563" i="1" a="1"/>
  <c r="K563" i="1" s="1"/>
  <c r="K562" i="1" a="1"/>
  <c r="K562" i="1" s="1"/>
  <c r="K561" i="1" a="1"/>
  <c r="K561" i="1" s="1"/>
  <c r="K560" i="1" a="1"/>
  <c r="K560" i="1" s="1"/>
  <c r="K559" i="1" a="1"/>
  <c r="K559" i="1" s="1"/>
  <c r="K558" i="1" a="1"/>
  <c r="K558" i="1" s="1"/>
  <c r="K557" i="1" a="1"/>
  <c r="K557" i="1" s="1"/>
  <c r="K556" i="1" a="1"/>
  <c r="K556" i="1" s="1"/>
  <c r="K555" i="1" a="1"/>
  <c r="K555" i="1" s="1"/>
  <c r="K554" i="1" a="1"/>
  <c r="K554" i="1" s="1"/>
  <c r="K553" i="1" a="1"/>
  <c r="K553" i="1" s="1"/>
  <c r="K552" i="1" a="1"/>
  <c r="K552" i="1" s="1"/>
  <c r="K551" i="1" a="1"/>
  <c r="K551" i="1" s="1"/>
  <c r="K550" i="1" a="1"/>
  <c r="K550" i="1" s="1"/>
  <c r="K549" i="1" a="1"/>
  <c r="K549" i="1" s="1"/>
  <c r="K548" i="1" a="1"/>
  <c r="K548" i="1" s="1"/>
  <c r="K547" i="1" a="1"/>
  <c r="K547" i="1" s="1"/>
  <c r="K546" i="1" a="1"/>
  <c r="K546" i="1" s="1"/>
  <c r="K545" i="1" a="1"/>
  <c r="K545" i="1" s="1"/>
  <c r="K544" i="1" a="1"/>
  <c r="K544" i="1" s="1"/>
  <c r="K543" i="1" a="1"/>
  <c r="K543" i="1" s="1"/>
  <c r="K542" i="1" a="1"/>
  <c r="K542" i="1" s="1"/>
  <c r="K541" i="1" a="1"/>
  <c r="K541" i="1" s="1"/>
  <c r="K540" i="1" a="1"/>
  <c r="K540" i="1" s="1"/>
  <c r="K539" i="1" a="1"/>
  <c r="K539" i="1" s="1"/>
  <c r="K538" i="1" a="1"/>
  <c r="K538" i="1" s="1"/>
  <c r="K537" i="1" a="1"/>
  <c r="K537" i="1" s="1"/>
  <c r="K536" i="1" a="1"/>
  <c r="K536" i="1" s="1"/>
  <c r="K535" i="1" a="1"/>
  <c r="K535" i="1" s="1"/>
  <c r="K534" i="1" a="1"/>
  <c r="K534" i="1" s="1"/>
  <c r="K533" i="1" a="1"/>
  <c r="K533" i="1" s="1"/>
  <c r="K532" i="1" a="1"/>
  <c r="K532" i="1" s="1"/>
  <c r="K531" i="1" a="1"/>
  <c r="K531" i="1" s="1"/>
  <c r="K530" i="1" a="1"/>
  <c r="K530" i="1" s="1"/>
  <c r="K529" i="1" a="1"/>
  <c r="K529" i="1" s="1"/>
  <c r="K528" i="1" a="1"/>
  <c r="K528" i="1" s="1"/>
  <c r="K527" i="1" a="1"/>
  <c r="K527" i="1" s="1"/>
  <c r="K526" i="1" a="1"/>
  <c r="K526" i="1" s="1"/>
  <c r="K525" i="1" a="1"/>
  <c r="K525" i="1" s="1"/>
  <c r="K524" i="1" a="1"/>
  <c r="K524" i="1" s="1"/>
  <c r="K523" i="1" a="1"/>
  <c r="K523" i="1" s="1"/>
  <c r="K522" i="1" a="1"/>
  <c r="K522" i="1" s="1"/>
  <c r="K521" i="1" a="1"/>
  <c r="K521" i="1" s="1"/>
  <c r="K520" i="1" a="1"/>
  <c r="K520" i="1" s="1"/>
  <c r="K519" i="1" a="1"/>
  <c r="K519" i="1" s="1"/>
  <c r="K518" i="1" a="1"/>
  <c r="K518" i="1" s="1"/>
  <c r="K517" i="1" a="1"/>
  <c r="K517" i="1" s="1"/>
  <c r="K516" i="1" a="1"/>
  <c r="K516" i="1" s="1"/>
  <c r="K515" i="1" a="1"/>
  <c r="K515" i="1" s="1"/>
  <c r="K514" i="1" a="1"/>
  <c r="K514" i="1" s="1"/>
  <c r="K513" i="1" a="1"/>
  <c r="K513" i="1" s="1"/>
  <c r="K512" i="1" a="1"/>
  <c r="K512" i="1" s="1"/>
  <c r="K511" i="1" a="1"/>
  <c r="K511" i="1" s="1"/>
  <c r="K510" i="1" a="1"/>
  <c r="K510" i="1" s="1"/>
  <c r="K509" i="1" a="1"/>
  <c r="K509" i="1" s="1"/>
  <c r="K508" i="1" a="1"/>
  <c r="K508" i="1" s="1"/>
  <c r="K507" i="1" a="1"/>
  <c r="K507" i="1" s="1"/>
  <c r="K506" i="1" a="1"/>
  <c r="K506" i="1" s="1"/>
  <c r="K505" i="1" a="1"/>
  <c r="K505" i="1" s="1"/>
  <c r="K504" i="1" a="1"/>
  <c r="K504" i="1" s="1"/>
  <c r="K503" i="1" a="1"/>
  <c r="K503" i="1" s="1"/>
  <c r="K502" i="1" a="1"/>
  <c r="K502" i="1" s="1"/>
  <c r="K501" i="1" a="1"/>
  <c r="K501" i="1" s="1"/>
  <c r="K500" i="1" a="1"/>
  <c r="K500" i="1" s="1"/>
  <c r="K499" i="1" a="1"/>
  <c r="K499" i="1" s="1"/>
  <c r="K498" i="1" a="1"/>
  <c r="K498" i="1" s="1"/>
  <c r="K497" i="1" a="1"/>
  <c r="K497" i="1" s="1"/>
  <c r="K496" i="1" a="1"/>
  <c r="K496" i="1" s="1"/>
  <c r="K495" i="1" a="1"/>
  <c r="K495" i="1" s="1"/>
  <c r="K494" i="1" a="1"/>
  <c r="K494" i="1" s="1"/>
  <c r="K493" i="1" a="1"/>
  <c r="K493" i="1" s="1"/>
  <c r="K492" i="1" a="1"/>
  <c r="K492" i="1" s="1"/>
  <c r="K491" i="1" a="1"/>
  <c r="K491" i="1" s="1"/>
  <c r="K490" i="1" a="1"/>
  <c r="K490" i="1" s="1"/>
  <c r="K489" i="1" a="1"/>
  <c r="K489" i="1" s="1"/>
  <c r="K488" i="1" a="1"/>
  <c r="K488" i="1" s="1"/>
  <c r="K487" i="1" a="1"/>
  <c r="K487" i="1" s="1"/>
  <c r="K486" i="1" a="1"/>
  <c r="K486" i="1" s="1"/>
  <c r="K485" i="1" a="1"/>
  <c r="K485" i="1" s="1"/>
  <c r="K484" i="1" a="1"/>
  <c r="K484" i="1" s="1"/>
  <c r="K483" i="1" a="1"/>
  <c r="K483" i="1" s="1"/>
  <c r="K482" i="1" a="1"/>
  <c r="K482" i="1" s="1"/>
  <c r="K481" i="1" a="1"/>
  <c r="K481" i="1" s="1"/>
  <c r="K480" i="1" a="1"/>
  <c r="K480" i="1" s="1"/>
  <c r="K479" i="1" a="1"/>
  <c r="K479" i="1" s="1"/>
  <c r="K478" i="1" a="1"/>
  <c r="K478" i="1" s="1"/>
  <c r="K477" i="1" a="1"/>
  <c r="K477" i="1" s="1"/>
  <c r="K476" i="1" a="1"/>
  <c r="K476" i="1" s="1"/>
  <c r="K475" i="1" a="1"/>
  <c r="K475" i="1" s="1"/>
  <c r="K474" i="1" a="1"/>
  <c r="K474" i="1" s="1"/>
  <c r="K473" i="1" a="1"/>
  <c r="K473" i="1" s="1"/>
  <c r="K472" i="1" a="1"/>
  <c r="K472" i="1" s="1"/>
  <c r="K471" i="1" a="1"/>
  <c r="K471" i="1" s="1"/>
  <c r="K470" i="1" a="1"/>
  <c r="K470" i="1" s="1"/>
  <c r="K469" i="1" a="1"/>
  <c r="K469" i="1" s="1"/>
  <c r="K468" i="1" a="1"/>
  <c r="K468" i="1" s="1"/>
  <c r="K467" i="1" a="1"/>
  <c r="K467" i="1" s="1"/>
  <c r="K466" i="1" a="1"/>
  <c r="K466" i="1" s="1"/>
  <c r="K465" i="1" a="1"/>
  <c r="K465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/>
  <c r="K44" i="1" a="1"/>
  <c r="K44" i="1" s="1"/>
  <c r="K45" i="1" a="1"/>
  <c r="K45" i="1" s="1"/>
  <c r="K46" i="1" a="1"/>
  <c r="K46" i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/>
  <c r="K221" i="1" a="1"/>
  <c r="K221" i="1" s="1"/>
  <c r="K222" i="1" a="1"/>
  <c r="K222" i="1" s="1"/>
  <c r="K223" i="1" a="1"/>
  <c r="K223" i="1" s="1"/>
  <c r="K224" i="1" a="1"/>
  <c r="K224" i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/>
  <c r="K284" i="1" a="1"/>
  <c r="K284" i="1" s="1"/>
  <c r="K285" i="1" a="1"/>
  <c r="K285" i="1" s="1"/>
  <c r="K286" i="1" a="1"/>
  <c r="K286" i="1" s="1"/>
  <c r="K287" i="1" a="1"/>
  <c r="K287" i="1" s="1"/>
  <c r="K288" i="1" a="1"/>
  <c r="K288" i="1"/>
  <c r="K289" i="1" a="1"/>
  <c r="K289" i="1" s="1"/>
  <c r="K290" i="1" a="1"/>
  <c r="K290" i="1" s="1"/>
  <c r="K291" i="1" a="1"/>
  <c r="K291" i="1" s="1"/>
  <c r="K292" i="1" a="1"/>
  <c r="K292" i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/>
  <c r="K312" i="1" a="1"/>
  <c r="K312" i="1" s="1"/>
  <c r="K313" i="1" a="1"/>
  <c r="K313" i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2" i="1" a="1"/>
  <c r="K2" i="1" s="1"/>
  <c r="B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<sst xmlns="http://schemas.openxmlformats.org/spreadsheetml/2006/main" count="3109" uniqueCount="1067">
  <si>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</si>
  <si>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</si>
  <si>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</si>
  <si>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</si>
  <si>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</si>
  <si>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</si>
  <si>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</si>
  <si>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</si>
  <si>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</si>
  <si>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</si>
  <si>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</si>
  <si>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</si>
  <si>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</si>
  <si>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</si>
  <si>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</si>
  <si>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</si>
  <si>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</si>
  <si>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</si>
  <si>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</si>
  <si>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</si>
  <si>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</si>
  <si>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</si>
  <si>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</si>
  <si>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</si>
  <si>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</si>
  <si>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</si>
  <si>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</si>
  <si>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</si>
  <si>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</si>
  <si>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</si>
  <si>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</si>
  <si>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</si>
  <si>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</si>
  <si>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</si>
  <si>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</si>
  <si>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</si>
  <si>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</si>
  <si>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</si>
  <si>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</si>
  <si>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</si>
  <si>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</si>
  <si>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</si>
  <si>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</si>
  <si>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</si>
  <si>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</si>
  <si>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</si>
  <si>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</si>
  <si>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</si>
  <si>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</si>
  <si>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</si>
  <si>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</si>
  <si>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</si>
  <si>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</si>
  <si>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</si>
  <si>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</si>
  <si>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</si>
  <si>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</si>
  <si>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</si>
  <si>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</si>
  <si>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</si>
  <si>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</si>
  <si>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</si>
  <si>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</si>
  <si>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</si>
  <si>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</si>
  <si>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</si>
  <si>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</si>
  <si>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</si>
  <si>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</si>
  <si>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</si>
  <si>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</si>
  <si>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</si>
  <si>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</si>
  <si>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</si>
  <si>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</si>
  <si>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</si>
  <si>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</si>
  <si>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</si>
  <si>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</si>
  <si>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</si>
  <si>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</si>
  <si>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</si>
  <si>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</si>
  <si>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</si>
  <si>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</si>
  <si>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</si>
  <si>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</si>
  <si>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</si>
  <si>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</si>
  <si>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</si>
  <si>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</si>
  <si>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</si>
  <si>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</si>
  <si>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</si>
  <si>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</si>
  <si>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</si>
  <si>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</si>
  <si>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</si>
  <si>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</si>
  <si>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</si>
  <si>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</si>
  <si>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</si>
  <si>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</si>
  <si>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</si>
  <si>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</si>
  <si>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</si>
  <si>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</si>
  <si>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</si>
  <si>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</si>
  <si>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</si>
  <si>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</si>
  <si>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</si>
  <si>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</si>
  <si>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</si>
  <si>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</si>
  <si>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</si>
  <si>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</si>
  <si>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</si>
  <si>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</si>
  <si>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</si>
  <si>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</si>
  <si>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</si>
  <si>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</si>
  <si>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</si>
  <si>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</si>
  <si>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</si>
  <si>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</si>
  <si>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</si>
  <si>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</si>
  <si>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</si>
  <si>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</si>
  <si>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</si>
  <si>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</si>
  <si>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</si>
  <si>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</si>
  <si>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</si>
  <si>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</si>
  <si>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</si>
  <si>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</si>
  <si>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</si>
  <si>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</si>
  <si>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</si>
  <si>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</si>
  <si>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</si>
  <si>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</si>
  <si>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</si>
  <si>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</si>
  <si>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</si>
  <si>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</si>
  <si>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</si>
  <si>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</si>
  <si>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</si>
  <si>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</si>
  <si>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</si>
  <si>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</si>
  <si>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</si>
  <si>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</si>
  <si>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</si>
  <si>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</si>
  <si>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</si>
  <si>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</si>
  <si>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</si>
  <si>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</si>
  <si>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</si>
  <si>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</si>
  <si>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</si>
  <si>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</si>
  <si>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</si>
  <si>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</si>
  <si>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</si>
  <si>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</si>
  <si>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</si>
  <si>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</si>
  <si>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</si>
  <si>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</si>
  <si>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</si>
  <si>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</si>
  <si>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</si>
  <si>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</si>
  <si>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</si>
  <si>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</si>
  <si>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</si>
  <si>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</si>
  <si>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</si>
  <si>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</si>
  <si>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</si>
  <si>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</si>
  <si>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</si>
  <si>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</si>
  <si>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</si>
  <si>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</si>
  <si>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</si>
  <si>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</si>
  <si>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</si>
  <si>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</si>
  <si>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</si>
  <si>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</si>
  <si>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</si>
  <si>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</si>
  <si>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</si>
  <si>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</si>
  <si>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</si>
  <si>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</si>
  <si>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</si>
  <si>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</si>
  <si>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</si>
  <si>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</si>
  <si>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</si>
  <si>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</si>
  <si>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</si>
  <si>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</si>
  <si>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</si>
  <si>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</si>
  <si>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</si>
  <si>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</si>
  <si>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</si>
  <si>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</si>
  <si>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</si>
  <si>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</si>
  <si>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</si>
  <si>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</si>
  <si>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</si>
  <si>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</si>
  <si>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</si>
  <si>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</si>
  <si>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</si>
  <si>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</si>
  <si>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</si>
  <si>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</si>
  <si>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</si>
  <si>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</si>
  <si>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</si>
  <si>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</si>
  <si>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</si>
  <si>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</si>
  <si>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</si>
  <si>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</si>
  <si>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</si>
  <si>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</si>
  <si>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</si>
  <si>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</si>
  <si>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</si>
  <si>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</si>
  <si>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</si>
  <si>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</si>
  <si>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</si>
  <si>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</si>
  <si>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</si>
  <si>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</si>
  <si>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</si>
  <si>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</si>
  <si>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</si>
  <si>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</si>
  <si>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</si>
  <si>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</si>
  <si>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</si>
  <si>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</si>
  <si>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</si>
  <si>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</si>
  <si>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</si>
  <si>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</si>
  <si>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</si>
  <si>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</si>
  <si>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</si>
  <si>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</si>
  <si>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</si>
  <si>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</si>
  <si>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</si>
  <si>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</si>
  <si>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</si>
  <si>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</si>
  <si>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</si>
  <si>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</si>
  <si>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</si>
  <si>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</si>
  <si>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</si>
  <si>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</si>
  <si>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</si>
  <si>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</si>
  <si>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</si>
  <si>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</si>
  <si>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</si>
  <si>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</si>
  <si>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</si>
  <si>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</si>
  <si>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</si>
  <si>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</si>
  <si>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</si>
  <si>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</si>
  <si>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</si>
  <si>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</si>
  <si>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</si>
  <si>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</si>
  <si>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</si>
  <si>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</si>
  <si>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</si>
  <si>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</si>
  <si>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</si>
  <si>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</si>
  <si>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</si>
  <si>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</si>
  <si>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</si>
  <si>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</si>
  <si>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</si>
  <si>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</si>
  <si>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</si>
  <si>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</si>
  <si>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</si>
  <si>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</si>
  <si>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</si>
  <si>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</si>
  <si>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</si>
  <si>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</si>
  <si>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</si>
  <si>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</si>
  <si>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</si>
  <si>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</si>
  <si>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</si>
  <si>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</si>
  <si>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</si>
  <si>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</si>
  <si>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</si>
  <si>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</si>
  <si>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</si>
  <si>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</si>
  <si>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</si>
  <si>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</si>
  <si>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</si>
  <si>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</si>
  <si>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</si>
  <si>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</si>
  <si>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</si>
  <si>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</si>
  <si>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</si>
  <si>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</si>
  <si>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</si>
  <si>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</si>
  <si>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</si>
  <si>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</si>
  <si>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</si>
  <si>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</si>
  <si>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</si>
  <si>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</si>
  <si>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</si>
  <si>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</si>
  <si>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</si>
  <si>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</si>
  <si>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</si>
  <si>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</si>
  <si>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</si>
  <si>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</si>
  <si>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</si>
  <si>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</si>
  <si>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</si>
  <si>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</si>
  <si>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</si>
  <si>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</si>
  <si>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</si>
  <si>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</si>
  <si>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</si>
  <si>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</si>
  <si>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</si>
  <si>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</si>
  <si>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</si>
  <si>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</si>
  <si>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</si>
  <si>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</si>
  <si>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</si>
  <si>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</si>
  <si>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</si>
  <si>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</si>
  <si>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</si>
  <si>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</si>
  <si>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</si>
  <si>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</si>
  <si>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</si>
  <si>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</si>
  <si>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</si>
  <si>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</si>
  <si>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</si>
  <si>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</si>
  <si>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</si>
  <si>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</si>
  <si>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</si>
  <si>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</si>
  <si>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</si>
  <si>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</si>
  <si>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</si>
  <si>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</si>
  <si>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</si>
  <si>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</si>
  <si>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</si>
  <si>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</si>
  <si>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</si>
  <si>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</si>
  <si>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</si>
  <si>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</si>
  <si>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</si>
  <si>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</si>
  <si>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</si>
  <si>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</si>
  <si>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</si>
  <si>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</si>
  <si>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</si>
  <si>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</si>
  <si>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</si>
  <si>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</si>
  <si>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</si>
  <si>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</si>
  <si>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</si>
  <si>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</si>
  <si>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</si>
  <si>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</si>
  <si>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</si>
  <si>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</si>
  <si>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</si>
  <si>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</si>
  <si>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</si>
  <si>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</si>
  <si>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</si>
  <si>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</si>
  <si>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</si>
  <si>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</si>
  <si>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</si>
  <si>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</si>
  <si>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</si>
  <si>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</si>
  <si>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</si>
  <si>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</si>
  <si>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</si>
  <si>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</si>
  <si>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</si>
  <si>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</si>
  <si>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</si>
  <si>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</si>
  <si>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</si>
  <si>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</si>
  <si>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</si>
  <si>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</si>
  <si>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</si>
  <si>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</si>
  <si>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</si>
  <si>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</si>
  <si>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</si>
  <si>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</si>
  <si>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</si>
  <si>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</si>
  <si>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</si>
  <si>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</si>
  <si>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</si>
  <si>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</si>
  <si>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</si>
  <si>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</si>
  <si>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</si>
  <si>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</si>
  <si>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</si>
  <si>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</si>
  <si>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</si>
  <si>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</si>
  <si>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</si>
  <si>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</si>
  <si>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</si>
  <si>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</si>
  <si>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</si>
  <si>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</si>
  <si>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</si>
  <si>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</si>
  <si>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</si>
  <si>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</si>
  <si>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</si>
  <si>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</si>
  <si>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</si>
  <si>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</si>
  <si>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</si>
  <si>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</si>
  <si>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</si>
  <si>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</si>
  <si>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</si>
  <si>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</si>
  <si>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</si>
  <si>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</si>
  <si>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</si>
  <si>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</si>
  <si>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</si>
  <si>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</si>
  <si>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</si>
  <si>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</si>
  <si>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</si>
  <si>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</si>
  <si>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</si>
  <si>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</si>
  <si>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</si>
  <si>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</si>
  <si>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</si>
  <si>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</si>
  <si>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</si>
  <si>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</si>
  <si>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</si>
  <si>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</si>
  <si>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</si>
  <si>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</si>
  <si>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</si>
  <si>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</si>
  <si>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</si>
  <si>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</si>
  <si>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</si>
  <si>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</si>
  <si>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</si>
  <si>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</si>
  <si>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</si>
  <si>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</si>
  <si>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</si>
  <si>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</si>
  <si>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</si>
  <si>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</si>
  <si>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</si>
  <si>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</si>
  <si>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</si>
  <si>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</si>
  <si>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</si>
  <si>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</si>
  <si>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</si>
  <si>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</si>
  <si>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</si>
  <si>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</si>
  <si>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</si>
  <si>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</si>
  <si>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</si>
  <si>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</si>
  <si>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</si>
  <si>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</si>
  <si>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</si>
  <si>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</si>
  <si>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</si>
  <si>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</si>
  <si>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</si>
  <si>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</si>
  <si>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</si>
  <si>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</si>
  <si>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</si>
  <si>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</si>
  <si>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</si>
  <si>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</si>
  <si>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</si>
  <si>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</si>
  <si>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</si>
  <si>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</si>
  <si>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</si>
  <si>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</si>
  <si>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</si>
  <si>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</si>
  <si>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</si>
  <si>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</si>
  <si>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</si>
  <si>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</si>
  <si>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</si>
  <si>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</si>
  <si>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</si>
  <si>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</si>
  <si>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</si>
  <si>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</si>
  <si>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</si>
  <si>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</si>
  <si>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</si>
  <si>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</si>
  <si>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</si>
  <si>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</si>
  <si>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</si>
  <si>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</si>
  <si>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</si>
  <si>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</si>
  <si>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</si>
  <si>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</si>
  <si>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</si>
  <si>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</si>
  <si>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</si>
  <si>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</si>
  <si>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</si>
  <si>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</si>
  <si>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</si>
  <si>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</si>
  <si>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</si>
  <si>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</si>
  <si>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</si>
  <si>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</si>
  <si>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</si>
  <si>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</si>
  <si>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</si>
  <si>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</si>
  <si>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</si>
  <si>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</si>
  <si>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</si>
  <si>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</si>
  <si>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</si>
  <si>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</si>
  <si>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</si>
  <si>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</si>
  <si>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</si>
  <si>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</si>
  <si>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</si>
  <si>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</si>
  <si>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</si>
  <si>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</si>
  <si>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</si>
  <si>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</si>
  <si>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</si>
  <si>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</si>
  <si>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</si>
  <si>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</si>
  <si>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</si>
  <si>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</si>
  <si>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</si>
  <si>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</si>
  <si>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</si>
  <si>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</si>
  <si>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</si>
  <si>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</si>
  <si>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</si>
  <si>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</si>
  <si>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</si>
  <si>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</si>
  <si>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</si>
  <si>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</si>
  <si>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</si>
  <si>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</si>
  <si>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</si>
  <si>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</si>
  <si>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</si>
  <si>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</si>
  <si>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</si>
  <si>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</si>
  <si>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</si>
  <si>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</si>
  <si>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</si>
  <si>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</si>
  <si>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</si>
  <si>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</si>
  <si>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</si>
  <si>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</si>
  <si>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</si>
  <si>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</si>
  <si>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</si>
  <si>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</si>
  <si>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</si>
  <si>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</si>
  <si>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</si>
  <si>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</si>
  <si>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</si>
  <si>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</si>
  <si>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</si>
  <si>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</si>
  <si>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</si>
  <si>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</si>
  <si>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</si>
  <si>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</si>
  <si>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</si>
  <si>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</si>
  <si>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</si>
  <si>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</si>
  <si>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</si>
  <si>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</si>
  <si>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</si>
  <si>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</si>
  <si>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</si>
  <si>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</si>
  <si>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</si>
  <si>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</si>
  <si>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</si>
  <si>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</si>
  <si>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</si>
  <si>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</si>
  <si>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</si>
  <si>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</si>
  <si>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</si>
  <si>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</si>
  <si>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</si>
  <si>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</si>
  <si>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</si>
  <si>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</si>
  <si>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</si>
  <si>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</si>
  <si>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</si>
  <si>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</si>
  <si>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</si>
  <si>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</si>
  <si>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</si>
  <si>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</si>
  <si>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</si>
  <si>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</si>
  <si>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</si>
  <si>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</si>
  <si>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</si>
  <si>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</si>
  <si>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</si>
  <si>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</si>
  <si>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</si>
  <si>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</si>
  <si>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</si>
  <si>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</si>
  <si>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</si>
  <si>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</si>
  <si>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</si>
  <si>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</si>
  <si>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</si>
  <si>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</si>
  <si>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</si>
  <si>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</si>
  <si>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</si>
  <si>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</si>
  <si>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</si>
  <si>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</si>
  <si>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</si>
  <si>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</si>
  <si>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</si>
  <si>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</si>
  <si>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</si>
  <si>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</si>
  <si>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</si>
  <si>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</si>
  <si>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</si>
  <si>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</si>
  <si>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</si>
  <si>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</si>
  <si>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</si>
  <si>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</si>
  <si>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</si>
  <si>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</si>
  <si>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</si>
  <si>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</si>
  <si>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</si>
  <si>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</si>
  <si>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</si>
  <si>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</si>
  <si>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</si>
  <si>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</si>
  <si>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</si>
  <si>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</si>
  <si>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</si>
  <si>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</si>
  <si>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</si>
  <si>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</si>
  <si>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</si>
  <si>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</si>
  <si>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</si>
  <si>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</si>
  <si>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</si>
  <si>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</si>
  <si>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</si>
  <si>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</si>
  <si>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</si>
  <si>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</si>
  <si>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</si>
  <si>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</si>
  <si>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</si>
  <si>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</si>
  <si>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</si>
  <si>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</si>
  <si>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</si>
  <si>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</si>
  <si>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</si>
  <si>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</si>
  <si>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</si>
  <si>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</si>
  <si>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</si>
  <si>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</si>
  <si>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</si>
  <si>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</si>
  <si>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</si>
  <si>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</si>
  <si>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</si>
  <si>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</si>
  <si>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</si>
  <si>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</si>
  <si>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</si>
  <si>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</si>
  <si>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</si>
  <si>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</si>
  <si>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</si>
  <si>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</si>
  <si>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</si>
  <si>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</si>
  <si>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</si>
  <si>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</si>
  <si>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</si>
  <si>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</si>
  <si>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</si>
  <si>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</si>
  <si>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</si>
  <si>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</si>
  <si>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</si>
  <si>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</si>
  <si>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</si>
  <si>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</si>
  <si>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</si>
  <si>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</si>
  <si>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</si>
  <si>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</si>
  <si>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</si>
  <si>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</si>
  <si>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</si>
  <si>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</si>
  <si>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</si>
  <si>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</si>
  <si>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</si>
  <si>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</si>
  <si>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</si>
  <si>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</si>
  <si>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</si>
  <si>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</si>
  <si>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</si>
  <si>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</si>
  <si>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</si>
  <si>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</si>
  <si>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</si>
  <si>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</si>
  <si>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</si>
  <si>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</si>
  <si>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</si>
  <si>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</si>
  <si>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</si>
  <si>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</si>
  <si>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</si>
  <si>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</si>
  <si>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</si>
  <si>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</si>
  <si>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</si>
  <si>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</si>
  <si>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</si>
  <si>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</si>
  <si>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</si>
  <si>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</si>
  <si>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</si>
  <si>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</si>
  <si>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</si>
  <si>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</si>
  <si>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</si>
  <si>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</si>
  <si>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</si>
  <si>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</si>
  <si>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</si>
  <si>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</si>
  <si>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</si>
  <si>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</si>
  <si>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</si>
  <si>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</si>
  <si>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</si>
  <si>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</si>
  <si>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</si>
  <si>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</si>
  <si>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</si>
  <si>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</si>
  <si>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</si>
  <si>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</si>
  <si>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</si>
  <si>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</si>
  <si>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</si>
  <si>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</si>
  <si>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</si>
  <si>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</si>
  <si>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</si>
  <si>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</si>
  <si>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</si>
  <si>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</si>
  <si>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</si>
  <si>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</si>
  <si>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</si>
  <si>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</si>
  <si>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</si>
  <si>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</si>
  <si>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</si>
  <si>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</si>
  <si>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</si>
  <si>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</si>
  <si>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</si>
  <si>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</si>
  <si>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</si>
  <si>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</si>
  <si>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</si>
  <si>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</si>
  <si>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</si>
  <si>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</si>
  <si>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</si>
  <si>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</si>
  <si>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</si>
  <si>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</si>
  <si>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</si>
  <si>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</si>
  <si>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</si>
  <si>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</si>
  <si>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</si>
  <si>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</si>
  <si>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</si>
  <si>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</si>
  <si>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</si>
  <si>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</si>
  <si>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</si>
  <si>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</si>
  <si>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</si>
  <si>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</si>
  <si>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</si>
  <si>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</si>
  <si>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</si>
  <si>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</si>
  <si>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</si>
  <si>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</si>
  <si>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</si>
  <si>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</si>
  <si>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</si>
  <si>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</si>
  <si>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</si>
  <si>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</si>
  <si>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</si>
  <si>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</si>
  <si>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</si>
  <si>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</si>
  <si>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</si>
  <si>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</si>
  <si>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</si>
  <si>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</si>
  <si>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</si>
  <si>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</si>
  <si>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</si>
  <si>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</si>
  <si>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</si>
  <si>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</si>
  <si>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</si>
  <si>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</si>
  <si>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</si>
  <si>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</si>
  <si>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</si>
  <si>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</si>
  <si>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</si>
  <si>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</si>
  <si>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</si>
  <si>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</si>
  <si>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</si>
  <si>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</si>
  <si>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</si>
  <si>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</si>
  <si>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</si>
  <si>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</si>
  <si>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</si>
  <si>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</si>
  <si>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</si>
  <si>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</si>
  <si>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</si>
  <si>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</si>
  <si>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</si>
  <si>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</si>
  <si>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</si>
  <si>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</si>
  <si>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</si>
  <si>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</si>
  <si>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</si>
  <si>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</si>
  <si>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</si>
  <si>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</si>
  <si>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</si>
  <si>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</si>
  <si>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</si>
  <si>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</si>
  <si>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</si>
  <si>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</si>
  <si>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</si>
  <si>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</si>
  <si>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</si>
  <si>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</si>
  <si>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</si>
  <si>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</si>
  <si>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</si>
  <si>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</si>
  <si>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</si>
  <si>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</si>
  <si>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</si>
  <si>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</si>
  <si>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</si>
  <si>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</si>
  <si>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</si>
  <si>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</si>
  <si>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</si>
  <si>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</si>
  <si>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</si>
  <si>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</si>
  <si>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</si>
  <si>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</si>
  <si>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</si>
  <si>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</si>
  <si>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</si>
  <si>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</si>
  <si>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</si>
  <si>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</si>
  <si>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</si>
  <si>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</si>
  <si>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</si>
  <si>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</si>
  <si>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</si>
  <si>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</si>
  <si>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</si>
  <si>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</si>
  <si>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</si>
  <si>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</si>
  <si>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</si>
  <si>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</si>
  <si>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</si>
  <si>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</si>
  <si>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</si>
  <si>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</si>
  <si>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</si>
  <si>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</si>
  <si>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</si>
  <si>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</si>
  <si>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</si>
  <si>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</si>
  <si>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</si>
  <si>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Age range</t>
  </si>
  <si>
    <t>Month</t>
  </si>
  <si>
    <t>Sum of Total Amount</t>
  </si>
  <si>
    <t>Total Sales</t>
  </si>
  <si>
    <t>Sales</t>
  </si>
  <si>
    <t>Sum of Quantity</t>
  </si>
  <si>
    <t>May</t>
  </si>
  <si>
    <t>55+</t>
  </si>
  <si>
    <t>Q2</t>
  </si>
  <si>
    <t>Feb</t>
  </si>
  <si>
    <t>25-34</t>
  </si>
  <si>
    <t>Q1</t>
  </si>
  <si>
    <t>Apr</t>
  </si>
  <si>
    <t>35-44</t>
  </si>
  <si>
    <t>Dec</t>
  </si>
  <si>
    <t>Q4</t>
  </si>
  <si>
    <t>Mar</t>
  </si>
  <si>
    <t>45-54</t>
  </si>
  <si>
    <t>Jan</t>
  </si>
  <si>
    <t>Oct</t>
  </si>
  <si>
    <t>18-24</t>
  </si>
  <si>
    <t>Aug</t>
  </si>
  <si>
    <t>Q3</t>
  </si>
  <si>
    <t>Nov</t>
  </si>
  <si>
    <t>Sep</t>
  </si>
  <si>
    <t>Jul</t>
  </si>
  <si>
    <t>Jun</t>
  </si>
  <si>
    <t>Total Units sold</t>
  </si>
  <si>
    <t>Units sold</t>
  </si>
  <si>
    <t>Column Labels</t>
  </si>
  <si>
    <t>Quarter</t>
  </si>
  <si>
    <t>TOTAL SALES</t>
  </si>
  <si>
    <t>Count of Transaction ID</t>
  </si>
  <si>
    <t>Average Transaction</t>
  </si>
  <si>
    <t>Values</t>
  </si>
  <si>
    <t>Insights into Customer Preferences and Retail Sales Performance</t>
  </si>
  <si>
    <t>RETAIL REPORT 2023</t>
  </si>
  <si>
    <t>DATA SOURCE</t>
  </si>
  <si>
    <t>Kaggle Retail Sales Dataset</t>
  </si>
  <si>
    <t>DATA PREPARATION</t>
  </si>
  <si>
    <t>Checked missing values</t>
  </si>
  <si>
    <t>Created Age Range column</t>
  </si>
  <si>
    <t>Created Quarter column</t>
  </si>
  <si>
    <t>Formatted Date field</t>
  </si>
  <si>
    <t>ANALYSIS</t>
  </si>
  <si>
    <t>Pivot Tables</t>
  </si>
  <si>
    <t>Sales by Category</t>
  </si>
  <si>
    <t>Sales by Age Group</t>
  </si>
  <si>
    <t>Sales by Gender</t>
  </si>
  <si>
    <t>Monthly Trend</t>
  </si>
  <si>
    <t>Quarterly Trend</t>
  </si>
  <si>
    <t>Excel Dashboard</t>
  </si>
  <si>
    <t>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</si>
</sst>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₱&quot;#,##0.00"/>
    <numFmt numFmtId="165" formatCode="&quot;₱&quot;#,##0"/>
    <numFmt numFmtId="166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8" fillId="0" borderId="0" xfId="0" applyFont="1"/>
    <xf numFmtId="165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0" fontId="19" fillId="34" borderId="10" xfId="0" applyFont="1" applyFill="1" applyBorder="1" applyAlignment="1">
      <alignment horizontal="centerContinuous"/>
    </xf>
    <xf numFmtId="0" fontId="0" fillId="34" borderId="11" xfId="0" applyFill="1" applyBorder="1" applyAlignment="1">
      <alignment horizontal="centerContinuous"/>
    </xf>
    <xf numFmtId="0" fontId="0" fillId="34" borderId="12" xfId="0" applyFill="1" applyBorder="1" applyAlignment="1">
      <alignment horizontal="centerContinuous"/>
    </xf>
    <xf numFmtId="0" fontId="0" fillId="33" borderId="13" xfId="0" applyFill="1" applyBorder="1"/>
    <xf numFmtId="0" fontId="0" fillId="33" borderId="0" xfId="0" applyFill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21" fillId="35" borderId="13" xfId="0" applyFont="1" applyFill="1" applyBorder="1" applyAlignment="1">
      <alignment horizontal="centerContinuous"/>
    </xf>
    <xf numFmtId="0" fontId="0" fillId="35" borderId="0" xfId="0" applyFill="1" applyAlignment="1">
      <alignment horizontal="centerContinuous"/>
    </xf>
    <xf numFmtId="0" fontId="20" fillId="35" borderId="0" xfId="0" applyFont="1" applyFill="1" applyAlignment="1">
      <alignment horizontal="centerContinuous"/>
    </xf>
    <xf numFmtId="0" fontId="0" fillId="35" borderId="14" xfId="0" applyFill="1" applyBorder="1" applyAlignment="1">
      <alignment horizontal="centerContinuous"/>
    </xf>
    <xf numFmtId="166" fontId="0" fillId="0" borderId="0" xfId="0" applyNumberFormat="1"/>
    <xf numFmtId="0" fontId="20" fillId="0" borderId="0" xfId="0" applyFont="1" applyAlignment="1">
      <alignment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165" formatCode="&quot;₱&quot;#,##0"/>
    </dxf>
    <dxf>
      <numFmt numFmtId="166" formatCode="_-* #,##0_-;\-* #,##0_-;_-* &quot;-&quot;??_-;_-@_-"/>
    </dxf>
    <dxf>
      <numFmt numFmtId="165" formatCode="&quot;₱&quot;#,##0"/>
    </dxf>
    <dxf>
      <numFmt numFmtId="1" formatCode="0"/>
    </dxf>
    <dxf>
      <numFmt numFmtId="165" formatCode="&quot;₱&quot;#,##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5" formatCode="&quot;₱&quot;#,##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numFmt numFmtId="164" formatCode="&quot;₱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&quot;₱&quot;#,##0.00"/>
    </dxf>
    <dxf>
      <numFmt numFmtId="164" formatCode="&quot;₱&quot;#,##0.00"/>
    </dxf>
    <dxf>
      <numFmt numFmtId="19" formatCode="m/d/yyyy"/>
    </dxf>
  </dxfs>
  <tableStyles count="0" defaultTableStyle="TableStyleMedium2" defaultPivotStyle="PivotStyleLight16"/>
  <colors>
    <mruColors>
      <color rgb="FFFFFCFB"/>
      <color rgb="FFFDE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[BRAVE.xlsx]Analysis!PivotTable5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2400" b="1" i="0">
                <a:effectLst/>
              </a:rPr>
              <a:t>Total Sales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Analysis!$B$10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F1-426D-AC90-93402A4CADD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F1-426D-AC90-93402A4CAD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F1-426D-AC90-93402A4CADD3}"/>
              </c:ext>
            </c:extLst>
          </c:dPt>
          <c:cat>
            <c:strRef>
              <c:f>Analysis!$A$11:$A$14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Analysis!$B$11:$B$14</c:f>
              <c:numCache>
                <c:formatCode>"₱"#,##0.00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F1-426D-AC90-93402A4CA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477584"/>
        <c:axId val="58327536"/>
      </c:barChart>
      <c:catAx>
        <c:axId val="10547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7536"/>
        <c:crosses val="autoZero"/>
        <c:auto val="1"/>
        <c:lblAlgn val="ctr"/>
        <c:lblOffset val="100"/>
        <c:noMultiLvlLbl val="0"/>
      </c:catAx>
      <c:valAx>
        <c:axId val="5832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[BRAVE.xlsx]Analysis!PivotTable6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 b="1" i="0">
                <a:effectLst/>
              </a:rPr>
              <a:t>Customer Spending by Age Group and Gender</a:t>
            </a:r>
            <a:endParaRPr lang="en-PH" sz="18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Analysis!$B$20:$B$21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Analysis!$A$22:$A$27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Analysis!$B$22:$B$27</c:f>
              <c:numCache>
                <c:formatCode>"₱"#,##0.00</c:formatCode>
                <c:ptCount val="5"/>
                <c:pt idx="0">
                  <c:v>35920</c:v>
                </c:pt>
                <c:pt idx="1">
                  <c:v>51850</c:v>
                </c:pt>
                <c:pt idx="2">
                  <c:v>52965</c:v>
                </c:pt>
                <c:pt idx="3">
                  <c:v>46825</c:v>
                </c:pt>
                <c:pt idx="4">
                  <c:v>45280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E-4D3E-A0F1-96B4605C282F}"/>
            </c:ext>
          </c:extLst>
        </c:ser>
        <c:ser>
          <c:idx val="1"/>
          <c:order val="1"/>
          <c:tx>
            <c:strRef>
              <c:f>Analysis!$C$20:$C$21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Analysis!$A$22:$A$27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Analysis!$C$22:$C$27</c:f>
              <c:numCache>
                <c:formatCode>"₱"#,##0.00</c:formatCode>
                <c:ptCount val="5"/>
                <c:pt idx="0">
                  <c:v>38730</c:v>
                </c:pt>
                <c:pt idx="1">
                  <c:v>45240</c:v>
                </c:pt>
                <c:pt idx="2">
                  <c:v>43870</c:v>
                </c:pt>
                <c:pt idx="3">
                  <c:v>50410</c:v>
                </c:pt>
                <c:pt idx="4">
                  <c:v>44910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E-4D3E-A0F1-96B4605C2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19296"/>
        <c:axId val="58328976"/>
      </c:barChart>
      <c:catAx>
        <c:axId val="16461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8976"/>
        <c:crosses val="autoZero"/>
        <c:auto val="1"/>
        <c:lblAlgn val="ctr"/>
        <c:lblOffset val="100"/>
        <c:noMultiLvlLbl val="0"/>
      </c:catAx>
      <c:valAx>
        <c:axId val="58328976"/>
        <c:scaling>
          <c:orientation val="minMax"/>
        </c:scaling>
        <c:delete val="0"/>
        <c:axPos val="l"/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1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[BRAVE.xlsx]Analysis!PivotTable8</c:name>
    <c:fmtId val="6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Sales Trend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Analysis!$B$54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Analysis!$A$55:$A$67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Analysis!$B$55:$B$67</c:f>
              <c:numCache>
                <c:formatCode>"₱"#,##0.00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9-4E58-8E44-8EE5C6F4E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95472"/>
        <c:axId val="58222896"/>
      </c:lineChart>
      <c:catAx>
        <c:axId val="10799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2896"/>
        <c:crosses val="autoZero"/>
        <c:auto val="1"/>
        <c:lblAlgn val="ctr"/>
        <c:lblOffset val="100"/>
        <c:noMultiLvlLbl val="0"/>
      </c:catAx>
      <c:valAx>
        <c:axId val="58222896"/>
        <c:scaling>
          <c:orientation val="minMax"/>
        </c:scaling>
        <c:delete val="0"/>
        <c:axPos val="l"/>
        <c:numFmt formatCode="&quot;₱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9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[BRAVE.xlsx]Analysis!PivotTable9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 b="1" i="0">
                <a:effectLst/>
              </a:rPr>
              <a:t>Product Preference by Age Group</a:t>
            </a:r>
            <a:endParaRPr lang="en-PH" sz="18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Analysis!$B$71:$B$72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Analysis!$A$73:$A$78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Analysis!$B$73:$B$78</c:f>
              <c:numCache>
                <c:formatCode>"₱"#,##0</c:formatCode>
                <c:ptCount val="5"/>
                <c:pt idx="0">
                  <c:v>28905</c:v>
                </c:pt>
                <c:pt idx="1">
                  <c:v>28540</c:v>
                </c:pt>
                <c:pt idx="2">
                  <c:v>29450</c:v>
                </c:pt>
                <c:pt idx="3">
                  <c:v>35950</c:v>
                </c:pt>
                <c:pt idx="4">
                  <c:v>20670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8-4B4A-9A79-FB4A34F4960E}"/>
            </c:ext>
          </c:extLst>
        </c:ser>
        <c:ser>
          <c:idx val="1"/>
          <c:order val="1"/>
          <c:tx>
            <c:strRef>
              <c:f>Analysis!$C$71:$C$72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Analysis!$A$73:$A$78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Analysis!$C$73:$C$78</c:f>
              <c:numCache>
                <c:formatCode>"₱"#,##0</c:formatCode>
                <c:ptCount val="5"/>
                <c:pt idx="0">
                  <c:v>22160</c:v>
                </c:pt>
                <c:pt idx="1">
                  <c:v>41640</c:v>
                </c:pt>
                <c:pt idx="2">
                  <c:v>30925</c:v>
                </c:pt>
                <c:pt idx="3">
                  <c:v>29545</c:v>
                </c:pt>
                <c:pt idx="4">
                  <c:v>31310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8-4B4A-9A79-FB4A34F4960E}"/>
            </c:ext>
          </c:extLst>
        </c:ser>
        <c:ser>
          <c:idx val="2"/>
          <c:order val="2"/>
          <c:tx>
            <c:strRef>
              <c:f>Analysis!$D$71:$D$72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Analysis!$A$73:$A$78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Analysis!$D$73:$D$78</c:f>
              <c:numCache>
                <c:formatCode>"₱"#,##0</c:formatCode>
                <c:ptCount val="5"/>
                <c:pt idx="0">
                  <c:v>23585</c:v>
                </c:pt>
                <c:pt idx="1">
                  <c:v>26910</c:v>
                </c:pt>
                <c:pt idx="2">
                  <c:v>36460</c:v>
                </c:pt>
                <c:pt idx="3">
                  <c:v>31740</c:v>
                </c:pt>
                <c:pt idx="4">
                  <c:v>38210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48-4B4A-9A79-FB4A34F4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363488"/>
        <c:axId val="58336656"/>
      </c:barChart>
      <c:catAx>
        <c:axId val="1623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6656"/>
        <c:crosses val="autoZero"/>
        <c:auto val="1"/>
        <c:lblAlgn val="ctr"/>
        <c:lblOffset val="100"/>
        <c:noMultiLvlLbl val="0"/>
      </c:catAx>
      <c:valAx>
        <c:axId val="58336656"/>
        <c:scaling>
          <c:orientation val="minMax"/>
        </c:scaling>
        <c:delete val="0"/>
        <c:axPos val="l"/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[BRAVE.xlsx]Analysis!PivotTable10</c:name>
    <c:fmtId val="7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 b="1" i="0">
                <a:effectLst/>
              </a:rPr>
              <a:t>Category Sales per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Analysis!$B$86:$B$87</c:f>
              <c:strCache>
                <c:ptCount val="1"/>
                <c:pt idx="0">
                  <c:v>Beauty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Analysis!$A$88:$A$92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Analysis!$B$88:$B$92</c:f>
              <c:numCache>
                <c:formatCode>"₱"#,##0</c:formatCode>
                <c:ptCount val="4"/>
                <c:pt idx="0">
                  <c:v>38510</c:v>
                </c:pt>
                <c:pt idx="1">
                  <c:v>35350</c:v>
                </c:pt>
                <c:pt idx="2">
                  <c:v>32200</c:v>
                </c:pt>
                <c:pt idx="3">
                  <c:v>37455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3-45B7-81DD-106612B82063}"/>
            </c:ext>
          </c:extLst>
        </c:ser>
        <c:ser>
          <c:idx val="1"/>
          <c:order val="1"/>
          <c:tx>
            <c:strRef>
              <c:f>Analysis!$C$86:$C$87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Analysis!$A$88:$A$92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Analysis!$C$88:$C$92</c:f>
              <c:numCache>
                <c:formatCode>"₱"#,##0</c:formatCode>
                <c:ptCount val="4"/>
                <c:pt idx="0">
                  <c:v>42750</c:v>
                </c:pt>
                <c:pt idx="1">
                  <c:v>41565</c:v>
                </c:pt>
                <c:pt idx="2">
                  <c:v>30680</c:v>
                </c:pt>
                <c:pt idx="3">
                  <c:v>40585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3-45B7-81DD-106612B82063}"/>
            </c:ext>
          </c:extLst>
        </c:ser>
        <c:ser>
          <c:idx val="2"/>
          <c:order val="2"/>
          <c:tx>
            <c:strRef>
              <c:f>Analysis!$D$86:$D$87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Analysis!$A$88:$A$92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Analysis!$D$88:$D$92</c:f>
              <c:numCache>
                <c:formatCode>"₱"#,##0</c:formatCode>
                <c:ptCount val="4"/>
                <c:pt idx="0">
                  <c:v>28770</c:v>
                </c:pt>
                <c:pt idx="1">
                  <c:v>46820</c:v>
                </c:pt>
                <c:pt idx="2">
                  <c:v>33165</c:v>
                </c:pt>
                <c:pt idx="3">
                  <c:v>48150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A3-45B7-81DD-106612B82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22880"/>
        <c:axId val="58273776"/>
      </c:lineChart>
      <c:catAx>
        <c:axId val="16242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3776"/>
        <c:crosses val="autoZero"/>
        <c:auto val="1"/>
        <c:lblAlgn val="ctr"/>
        <c:lblOffset val="100"/>
        <c:noMultiLvlLbl val="0"/>
      </c:catAx>
      <c:valAx>
        <c:axId val="5827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610325</xdr:colOff>
      <xdr:row>9</xdr:row>
      <xdr:rowOff>160760</xdr:rowOff>
    </xdr:from>
    <xdr:to>
      <xdr:col>12</xdr:col>
      <xdr:colOff>602848</xdr:colOff>
      <xdr:row>25</xdr:row>
      <xdr:rowOff>174579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A86EB-8BB9-485B-86F7-9B042D5E9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12743</xdr:colOff>
      <xdr:row>4</xdr:row>
      <xdr:rowOff>11249</xdr:rowOff>
    </xdr:from>
    <xdr:to>
      <xdr:col>5</xdr:col>
      <xdr:colOff>254000</xdr:colOff>
      <xdr:row>8</xdr:row>
      <xdr:rowOff>141111</xdr:rowOff>
    </xdr:to>
    <xdr:sp macro="" textlink="Analysis!B15">
      <xdr:nvSpPr>
        <xdr:cNvPr id="3" name="TextBox 2">
          <a:extLst>
            <a:ext uri="{FF2B5EF4-FFF2-40B4-BE49-F238E27FC236}">
              <a16:creationId xmlns:a16="http://schemas.microsoft.com/office/drawing/2014/main" id="{FE854A2F-B8BD-F9A3-34A4-80251B8F146A}"/>
            </a:ext>
          </a:extLst>
        </xdr:cNvPr>
        <xdr:cNvSpPr txBox="1"/>
      </xdr:nvSpPr>
      <xdr:spPr>
        <a:xfrm>
          <a:off x="1226299" y="1182471"/>
          <a:ext cx="2061590" cy="863640"/>
        </a:xfrm>
        <a:prstGeom prst="rect">
          <a:avLst/>
        </a:prstGeom>
        <a:solidFill>
          <a:srgbClr val="FFFCFB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rgbClr val="000000"/>
              </a:solidFill>
              <a:latin typeface="Aptos Narrow"/>
            </a:rPr>
            <a:t>Total Sales:</a:t>
          </a:r>
          <a:br>
            <a:rPr lang="en-US" sz="2800" b="1" i="0" u="none" strike="noStrike">
              <a:solidFill>
                <a:srgbClr val="000000"/>
              </a:solidFill>
              <a:latin typeface="Aptos Narrow"/>
            </a:rPr>
          </a:br>
          <a:fld id="{B858BF30-C4B6-49E3-9916-389B28713F29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/>
            <a:t>₱456,000</a:t>
          </a:fld>
          <a:endParaRPr lang="en-PH" sz="4400" b="1"/>
        </a:p>
      </xdr:txBody>
    </xdr:sp>
    <xdr:clientData/>
  </xdr:twoCellAnchor>
  <xdr:twoCellAnchor>
    <xdr:from>
      <xdr:col>1</xdr:col>
      <xdr:colOff>604449</xdr:colOff>
      <xdr:row>27</xdr:row>
      <xdr:rowOff>3396</xdr:rowOff>
    </xdr:from>
    <xdr:to>
      <xdr:col>8</xdr:col>
      <xdr:colOff>25500</xdr:colOff>
      <xdr:row>41</xdr:row>
      <xdr:rowOff>51733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CA930A-14B5-4BBB-B7D9-958FF4039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455412</xdr:colOff>
      <xdr:row>27</xdr:row>
      <xdr:rowOff>25461</xdr:rowOff>
    </xdr:from>
    <xdr:to>
      <xdr:col>14</xdr:col>
      <xdr:colOff>562861</xdr:colOff>
      <xdr:row>41</xdr:row>
      <xdr:rowOff>30075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4DD98D-770E-43B8-8AF2-C779D8850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367019</xdr:colOff>
      <xdr:row>9</xdr:row>
      <xdr:rowOff>165651</xdr:rowOff>
    </xdr:from>
    <xdr:to>
      <xdr:col>23</xdr:col>
      <xdr:colOff>111554</xdr:colOff>
      <xdr:row>25</xdr:row>
      <xdr:rowOff>169333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7D94E1-8B07-4A7E-9C7C-A2177E0D7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395111</xdr:colOff>
      <xdr:row>26</xdr:row>
      <xdr:rowOff>169333</xdr:rowOff>
    </xdr:from>
    <xdr:to>
      <xdr:col>23</xdr:col>
      <xdr:colOff>118471</xdr:colOff>
      <xdr:row>41</xdr:row>
      <xdr:rowOff>100758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4F9C01-1AC3-4344-B06E-4256A4218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126085</xdr:colOff>
      <xdr:row>4</xdr:row>
      <xdr:rowOff>11045</xdr:rowOff>
    </xdr:from>
    <xdr:to>
      <xdr:col>12</xdr:col>
      <xdr:colOff>574933</xdr:colOff>
      <xdr:row>8</xdr:row>
      <xdr:rowOff>140907</xdr:rowOff>
    </xdr:to>
    <xdr:sp macro="" textlink="Analysis!B100">
      <xdr:nvSpPr>
        <xdr:cNvPr id="10" name="TextBox 9">
          <a:extLst>
            <a:ext uri="{FF2B5EF4-FFF2-40B4-BE49-F238E27FC236}">
              <a16:creationId xmlns:a16="http://schemas.microsoft.com/office/drawing/2014/main" id="{0E7B63B9-71DC-46A5-8747-002663F3B0AF}"/>
            </a:ext>
          </a:extLst>
        </xdr:cNvPr>
        <xdr:cNvSpPr txBox="1"/>
      </xdr:nvSpPr>
      <xdr:spPr>
        <a:xfrm>
          <a:off x="5609396" y="1178072"/>
          <a:ext cx="2276618" cy="850673"/>
        </a:xfrm>
        <a:prstGeom prst="rect">
          <a:avLst/>
        </a:prstGeom>
        <a:solidFill>
          <a:srgbClr val="FFFCFB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rgbClr val="000000"/>
              </a:solidFill>
              <a:latin typeface="Aptos Narrow"/>
            </a:rPr>
            <a:t>Total Transactions:</a:t>
          </a:r>
          <a:br>
            <a:rPr lang="en-US" sz="2000" b="1" i="0" u="none" strike="noStrike">
              <a:solidFill>
                <a:srgbClr val="000000"/>
              </a:solidFill>
              <a:latin typeface="Aptos Narrow"/>
            </a:rPr>
          </a:br>
          <a:fld id="{187DF9D8-16A7-429E-AA84-E9DAE27A43DB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/>
            <a:t> 1,000 </a:t>
          </a:fld>
          <a:endParaRPr lang="en-PH" sz="7200" b="1"/>
        </a:p>
      </xdr:txBody>
    </xdr:sp>
    <xdr:clientData/>
  </xdr:twoCellAnchor>
  <xdr:twoCellAnchor>
    <xdr:from>
      <xdr:col>5</xdr:col>
      <xdr:colOff>396904</xdr:colOff>
      <xdr:row>4</xdr:row>
      <xdr:rowOff>5340</xdr:rowOff>
    </xdr:from>
    <xdr:to>
      <xdr:col>8</xdr:col>
      <xdr:colOff>603251</xdr:colOff>
      <xdr:row>8</xdr:row>
      <xdr:rowOff>137561</xdr:rowOff>
    </xdr:to>
    <xdr:sp macro="" textlink="Analysis!B101">
      <xdr:nvSpPr>
        <xdr:cNvPr id="11" name="TextBox 10">
          <a:extLst>
            <a:ext uri="{FF2B5EF4-FFF2-40B4-BE49-F238E27FC236}">
              <a16:creationId xmlns:a16="http://schemas.microsoft.com/office/drawing/2014/main" id="{52EF650B-78EF-4E0B-BB02-CD697F0290D7}"/>
            </a:ext>
          </a:extLst>
        </xdr:cNvPr>
        <xdr:cNvSpPr txBox="1"/>
      </xdr:nvSpPr>
      <xdr:spPr>
        <a:xfrm>
          <a:off x="3452842" y="1449965"/>
          <a:ext cx="2039909" cy="862471"/>
        </a:xfrm>
        <a:prstGeom prst="rect">
          <a:avLst/>
        </a:prstGeom>
        <a:solidFill>
          <a:srgbClr val="FFFCFB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rgbClr val="000000"/>
              </a:solidFill>
              <a:latin typeface="Aptos Narrow"/>
            </a:rPr>
            <a:t>Units Sold:</a:t>
          </a:r>
          <a:br>
            <a:rPr lang="en-US" sz="2000" b="1" i="0" u="none" strike="noStrike">
              <a:solidFill>
                <a:srgbClr val="000000"/>
              </a:solidFill>
              <a:latin typeface="Aptos Narrow"/>
            </a:rPr>
          </a:br>
          <a:fld id="{3F67E9DF-D324-43D4-BCA9-87B00670F24C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/>
            <a:t> 2,514 </a:t>
          </a:fld>
          <a:endParaRPr lang="en-PH" sz="13800" b="1"/>
        </a:p>
      </xdr:txBody>
    </xdr:sp>
    <xdr:clientData/>
  </xdr:twoCellAnchor>
  <xdr:twoCellAnchor>
    <xdr:from>
      <xdr:col>13</xdr:col>
      <xdr:colOff>333409</xdr:colOff>
      <xdr:row>4</xdr:row>
      <xdr:rowOff>6125</xdr:rowOff>
    </xdr:from>
    <xdr:to>
      <xdr:col>23</xdr:col>
      <xdr:colOff>101914</xdr:colOff>
      <xdr:row>8</xdr:row>
      <xdr:rowOff>135987</xdr:rowOff>
    </xdr:to>
    <xdr:sp macro="" textlink="Analysis!B100">
      <xdr:nvSpPr>
        <xdr:cNvPr id="12" name="TextBox 11">
          <a:extLst>
            <a:ext uri="{FF2B5EF4-FFF2-40B4-BE49-F238E27FC236}">
              <a16:creationId xmlns:a16="http://schemas.microsoft.com/office/drawing/2014/main" id="{399B4B52-2D6C-4394-90A0-FAF0C09CC43F}"/>
            </a:ext>
          </a:extLst>
        </xdr:cNvPr>
        <xdr:cNvSpPr txBox="1"/>
      </xdr:nvSpPr>
      <xdr:spPr>
        <a:xfrm>
          <a:off x="8270909" y="1456856"/>
          <a:ext cx="5874274" cy="872323"/>
        </a:xfrm>
        <a:prstGeom prst="rect">
          <a:avLst/>
        </a:prstGeom>
        <a:solidFill>
          <a:srgbClr val="FFFCFB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Key Takeaways</a:t>
          </a:r>
        </a:p>
        <a:p>
          <a:pPr fontAlgn="t"/>
          <a:r>
            <a:rPr lang="en-P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 noticeable decline in sales occurred across all categories during Q3, indicating a temporary slowdown in customer spending.</a:t>
          </a:r>
        </a:p>
        <a:p>
          <a:pPr fontAlgn="t"/>
          <a:r>
            <a:rPr lang="en-P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Customers aged 25-44 and the Electronics category were the primary drivers of overall sales.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n Navarro" refreshedDate="46277.431363194446" createdVersion="8" refreshedVersion="8" minRefreshableVersion="3" recordCount="1000" xr:uid="{99293A9B-2CA2-4103-9BBF-927FC3DAC01D}">
  <cacheSource type="worksheet">
    <worksheetSource ref="A1:L1001" sheet="Data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Age range" numFmtId="0">
      <sharedItems count="5">
        <s v="25-34"/>
        <s v="45-54"/>
        <s v="35-44"/>
        <s v="55+"/>
        <s v="18-24"/>
      </sharedItems>
    </cacheField>
    <cacheField name="Column1" numFmtId="0">
      <sharedItems count="4">
        <s v="Q4"/>
        <s v="Q1"/>
        <s v="Q2"/>
        <s v="Q3"/>
      </sharedItems>
    </cacheField>
  </cacheFields>
  <extLst>
    <ext xmlns:x14="http://schemas.microsoft.com/office/spreadsheetml/2009/9/main" uri="{725AE2AE-9491-48be-B2B4-4EB974FC3084}">
      <x14:pivotCacheDefinition pivotCacheId="150955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x v="0"/>
    <x v="0"/>
    <x v="0"/>
    <x v="0"/>
  </r>
  <r>
    <n v="2"/>
    <d v="2023-02-27T00:00:00"/>
    <s v="CUST002"/>
    <x v="1"/>
    <n v="26"/>
    <x v="1"/>
    <n v="2"/>
    <n v="500"/>
    <x v="1"/>
    <x v="1"/>
    <x v="0"/>
    <x v="1"/>
  </r>
  <r>
    <n v="3"/>
    <d v="2023-01-13T00:00:00"/>
    <s v="CUST003"/>
    <x v="0"/>
    <n v="50"/>
    <x v="2"/>
    <n v="1"/>
    <n v="30"/>
    <x v="2"/>
    <x v="2"/>
    <x v="1"/>
    <x v="1"/>
  </r>
  <r>
    <n v="4"/>
    <d v="2023-05-21T00:00:00"/>
    <s v="CUST004"/>
    <x v="0"/>
    <n v="37"/>
    <x v="1"/>
    <n v="1"/>
    <n v="500"/>
    <x v="3"/>
    <x v="3"/>
    <x v="2"/>
    <x v="2"/>
  </r>
  <r>
    <n v="5"/>
    <d v="2023-05-06T00:00:00"/>
    <s v="CUST005"/>
    <x v="0"/>
    <n v="30"/>
    <x v="0"/>
    <n v="2"/>
    <n v="50"/>
    <x v="4"/>
    <x v="3"/>
    <x v="0"/>
    <x v="2"/>
  </r>
  <r>
    <n v="6"/>
    <d v="2023-04-25T00:00:00"/>
    <s v="CUST006"/>
    <x v="1"/>
    <n v="45"/>
    <x v="0"/>
    <n v="1"/>
    <n v="30"/>
    <x v="2"/>
    <x v="4"/>
    <x v="1"/>
    <x v="2"/>
  </r>
  <r>
    <n v="7"/>
    <d v="2023-03-13T00:00:00"/>
    <s v="CUST007"/>
    <x v="0"/>
    <n v="46"/>
    <x v="1"/>
    <n v="2"/>
    <n v="25"/>
    <x v="5"/>
    <x v="5"/>
    <x v="1"/>
    <x v="1"/>
  </r>
  <r>
    <n v="8"/>
    <d v="2023-02-22T00:00:00"/>
    <s v="CUST008"/>
    <x v="0"/>
    <n v="30"/>
    <x v="2"/>
    <n v="4"/>
    <n v="25"/>
    <x v="4"/>
    <x v="1"/>
    <x v="0"/>
    <x v="1"/>
  </r>
  <r>
    <n v="9"/>
    <d v="2023-12-13T00:00:00"/>
    <s v="CUST009"/>
    <x v="0"/>
    <n v="63"/>
    <x v="2"/>
    <n v="2"/>
    <n v="300"/>
    <x v="6"/>
    <x v="6"/>
    <x v="3"/>
    <x v="0"/>
  </r>
  <r>
    <n v="10"/>
    <d v="2023-10-07T00:00:00"/>
    <s v="CUST010"/>
    <x v="1"/>
    <n v="52"/>
    <x v="1"/>
    <n v="4"/>
    <n v="50"/>
    <x v="7"/>
    <x v="7"/>
    <x v="1"/>
    <x v="0"/>
  </r>
  <r>
    <n v="11"/>
    <d v="2023-02-14T00:00:00"/>
    <s v="CUST011"/>
    <x v="0"/>
    <n v="23"/>
    <x v="1"/>
    <n v="2"/>
    <n v="50"/>
    <x v="4"/>
    <x v="1"/>
    <x v="4"/>
    <x v="1"/>
  </r>
  <r>
    <n v="12"/>
    <d v="2023-10-30T00:00:00"/>
    <s v="CUST012"/>
    <x v="0"/>
    <n v="35"/>
    <x v="0"/>
    <n v="3"/>
    <n v="25"/>
    <x v="8"/>
    <x v="7"/>
    <x v="2"/>
    <x v="0"/>
  </r>
  <r>
    <n v="13"/>
    <d v="2023-08-05T00:00:00"/>
    <s v="CUST013"/>
    <x v="0"/>
    <n v="22"/>
    <x v="2"/>
    <n v="3"/>
    <n v="500"/>
    <x v="9"/>
    <x v="8"/>
    <x v="4"/>
    <x v="3"/>
  </r>
  <r>
    <n v="14"/>
    <d v="2023-01-17T00:00:00"/>
    <s v="CUST014"/>
    <x v="0"/>
    <n v="64"/>
    <x v="1"/>
    <n v="4"/>
    <n v="30"/>
    <x v="10"/>
    <x v="2"/>
    <x v="3"/>
    <x v="1"/>
  </r>
  <r>
    <n v="15"/>
    <d v="2023-01-16T00:00:00"/>
    <s v="CUST015"/>
    <x v="1"/>
    <n v="42"/>
    <x v="2"/>
    <n v="4"/>
    <n v="500"/>
    <x v="11"/>
    <x v="2"/>
    <x v="2"/>
    <x v="1"/>
  </r>
  <r>
    <n v="16"/>
    <d v="2023-02-17T00:00:00"/>
    <s v="CUST016"/>
    <x v="0"/>
    <n v="19"/>
    <x v="1"/>
    <n v="3"/>
    <n v="500"/>
    <x v="9"/>
    <x v="1"/>
    <x v="4"/>
    <x v="1"/>
  </r>
  <r>
    <n v="17"/>
    <d v="2023-04-22T00:00:00"/>
    <s v="CUST017"/>
    <x v="1"/>
    <n v="27"/>
    <x v="1"/>
    <n v="4"/>
    <n v="25"/>
    <x v="4"/>
    <x v="4"/>
    <x v="0"/>
    <x v="2"/>
  </r>
  <r>
    <n v="18"/>
    <d v="2023-04-30T00:00:00"/>
    <s v="CUST018"/>
    <x v="1"/>
    <n v="47"/>
    <x v="2"/>
    <n v="2"/>
    <n v="25"/>
    <x v="5"/>
    <x v="4"/>
    <x v="1"/>
    <x v="2"/>
  </r>
  <r>
    <n v="19"/>
    <d v="2023-09-16T00:00:00"/>
    <s v="CUST019"/>
    <x v="1"/>
    <n v="62"/>
    <x v="1"/>
    <n v="2"/>
    <n v="25"/>
    <x v="5"/>
    <x v="9"/>
    <x v="3"/>
    <x v="3"/>
  </r>
  <r>
    <n v="20"/>
    <d v="2023-11-05T00:00:00"/>
    <s v="CUST020"/>
    <x v="0"/>
    <n v="22"/>
    <x v="1"/>
    <n v="3"/>
    <n v="300"/>
    <x v="12"/>
    <x v="0"/>
    <x v="4"/>
    <x v="0"/>
  </r>
  <r>
    <n v="21"/>
    <d v="2023-01-14T00:00:00"/>
    <s v="CUST021"/>
    <x v="1"/>
    <n v="50"/>
    <x v="0"/>
    <n v="1"/>
    <n v="500"/>
    <x v="3"/>
    <x v="2"/>
    <x v="1"/>
    <x v="1"/>
  </r>
  <r>
    <n v="22"/>
    <d v="2023-10-15T00:00:00"/>
    <s v="CUST022"/>
    <x v="0"/>
    <n v="18"/>
    <x v="1"/>
    <n v="2"/>
    <n v="50"/>
    <x v="4"/>
    <x v="7"/>
    <x v="4"/>
    <x v="0"/>
  </r>
  <r>
    <n v="23"/>
    <d v="2023-04-12T00:00:00"/>
    <s v="CUST023"/>
    <x v="1"/>
    <n v="35"/>
    <x v="1"/>
    <n v="4"/>
    <n v="30"/>
    <x v="10"/>
    <x v="4"/>
    <x v="2"/>
    <x v="2"/>
  </r>
  <r>
    <n v="24"/>
    <d v="2023-11-29T00:00:00"/>
    <s v="CUST024"/>
    <x v="1"/>
    <n v="49"/>
    <x v="1"/>
    <n v="1"/>
    <n v="300"/>
    <x v="13"/>
    <x v="0"/>
    <x v="1"/>
    <x v="0"/>
  </r>
  <r>
    <n v="25"/>
    <d v="2023-12-26T00:00:00"/>
    <s v="CUST025"/>
    <x v="1"/>
    <n v="64"/>
    <x v="0"/>
    <n v="1"/>
    <n v="50"/>
    <x v="5"/>
    <x v="6"/>
    <x v="3"/>
    <x v="0"/>
  </r>
  <r>
    <n v="26"/>
    <d v="2023-10-07T00:00:00"/>
    <s v="CUST026"/>
    <x v="1"/>
    <n v="28"/>
    <x v="2"/>
    <n v="2"/>
    <n v="500"/>
    <x v="1"/>
    <x v="7"/>
    <x v="0"/>
    <x v="0"/>
  </r>
  <r>
    <n v="27"/>
    <d v="2023-08-03T00:00:00"/>
    <s v="CUST027"/>
    <x v="1"/>
    <n v="38"/>
    <x v="0"/>
    <n v="2"/>
    <n v="25"/>
    <x v="5"/>
    <x v="8"/>
    <x v="2"/>
    <x v="3"/>
  </r>
  <r>
    <n v="28"/>
    <d v="2023-04-23T00:00:00"/>
    <s v="CUST028"/>
    <x v="1"/>
    <n v="43"/>
    <x v="0"/>
    <n v="1"/>
    <n v="500"/>
    <x v="3"/>
    <x v="4"/>
    <x v="2"/>
    <x v="2"/>
  </r>
  <r>
    <n v="29"/>
    <d v="2023-08-18T00:00:00"/>
    <s v="CUST029"/>
    <x v="1"/>
    <n v="42"/>
    <x v="2"/>
    <n v="1"/>
    <n v="30"/>
    <x v="2"/>
    <x v="8"/>
    <x v="2"/>
    <x v="3"/>
  </r>
  <r>
    <n v="30"/>
    <d v="2023-10-29T00:00:00"/>
    <s v="CUST030"/>
    <x v="1"/>
    <n v="39"/>
    <x v="0"/>
    <n v="3"/>
    <n v="300"/>
    <x v="12"/>
    <x v="7"/>
    <x v="2"/>
    <x v="0"/>
  </r>
  <r>
    <n v="31"/>
    <d v="2023-05-23T00:00:00"/>
    <s v="CUST031"/>
    <x v="0"/>
    <n v="44"/>
    <x v="2"/>
    <n v="4"/>
    <n v="300"/>
    <x v="14"/>
    <x v="3"/>
    <x v="2"/>
    <x v="2"/>
  </r>
  <r>
    <n v="32"/>
    <d v="2023-01-04T00:00:00"/>
    <s v="CUST032"/>
    <x v="0"/>
    <n v="30"/>
    <x v="0"/>
    <n v="3"/>
    <n v="30"/>
    <x v="15"/>
    <x v="2"/>
    <x v="0"/>
    <x v="1"/>
  </r>
  <r>
    <n v="33"/>
    <d v="2023-03-23T00:00:00"/>
    <s v="CUST033"/>
    <x v="1"/>
    <n v="50"/>
    <x v="2"/>
    <n v="2"/>
    <n v="50"/>
    <x v="4"/>
    <x v="5"/>
    <x v="1"/>
    <x v="1"/>
  </r>
  <r>
    <n v="34"/>
    <d v="2023-12-24T00:00:00"/>
    <s v="CUST034"/>
    <x v="1"/>
    <n v="51"/>
    <x v="1"/>
    <n v="3"/>
    <n v="50"/>
    <x v="0"/>
    <x v="6"/>
    <x v="1"/>
    <x v="0"/>
  </r>
  <r>
    <n v="35"/>
    <d v="2023-08-05T00:00:00"/>
    <s v="CUST035"/>
    <x v="1"/>
    <n v="58"/>
    <x v="0"/>
    <n v="3"/>
    <n v="300"/>
    <x v="12"/>
    <x v="8"/>
    <x v="3"/>
    <x v="3"/>
  </r>
  <r>
    <n v="36"/>
    <d v="2023-06-24T00:00:00"/>
    <s v="CUST036"/>
    <x v="0"/>
    <n v="52"/>
    <x v="0"/>
    <n v="3"/>
    <n v="300"/>
    <x v="12"/>
    <x v="10"/>
    <x v="1"/>
    <x v="2"/>
  </r>
  <r>
    <n v="37"/>
    <d v="2023-05-23T00:00:00"/>
    <s v="CUST037"/>
    <x v="1"/>
    <n v="18"/>
    <x v="0"/>
    <n v="3"/>
    <n v="25"/>
    <x v="8"/>
    <x v="3"/>
    <x v="4"/>
    <x v="2"/>
  </r>
  <r>
    <n v="38"/>
    <d v="2023-03-21T00:00:00"/>
    <s v="CUST038"/>
    <x v="0"/>
    <n v="38"/>
    <x v="0"/>
    <n v="4"/>
    <n v="50"/>
    <x v="7"/>
    <x v="5"/>
    <x v="2"/>
    <x v="1"/>
  </r>
  <r>
    <n v="39"/>
    <d v="2023-04-21T00:00:00"/>
    <s v="CUST039"/>
    <x v="0"/>
    <n v="23"/>
    <x v="1"/>
    <n v="4"/>
    <n v="30"/>
    <x v="10"/>
    <x v="4"/>
    <x v="4"/>
    <x v="2"/>
  </r>
  <r>
    <n v="40"/>
    <d v="2023-06-22T00:00:00"/>
    <s v="CUST040"/>
    <x v="0"/>
    <n v="45"/>
    <x v="0"/>
    <n v="1"/>
    <n v="50"/>
    <x v="5"/>
    <x v="10"/>
    <x v="1"/>
    <x v="2"/>
  </r>
  <r>
    <n v="41"/>
    <d v="2023-02-22T00:00:00"/>
    <s v="CUST041"/>
    <x v="0"/>
    <n v="34"/>
    <x v="1"/>
    <n v="2"/>
    <n v="25"/>
    <x v="5"/>
    <x v="1"/>
    <x v="0"/>
    <x v="1"/>
  </r>
  <r>
    <n v="42"/>
    <d v="2023-02-17T00:00:00"/>
    <s v="CUST042"/>
    <x v="0"/>
    <n v="22"/>
    <x v="1"/>
    <n v="3"/>
    <n v="300"/>
    <x v="12"/>
    <x v="1"/>
    <x v="4"/>
    <x v="1"/>
  </r>
  <r>
    <n v="43"/>
    <d v="2023-07-14T00:00:00"/>
    <s v="CUST043"/>
    <x v="1"/>
    <n v="48"/>
    <x v="1"/>
    <n v="1"/>
    <n v="300"/>
    <x v="13"/>
    <x v="11"/>
    <x v="1"/>
    <x v="3"/>
  </r>
  <r>
    <n v="44"/>
    <d v="2023-02-19T00:00:00"/>
    <s v="CUST044"/>
    <x v="1"/>
    <n v="22"/>
    <x v="1"/>
    <n v="1"/>
    <n v="25"/>
    <x v="16"/>
    <x v="1"/>
    <x v="4"/>
    <x v="1"/>
  </r>
  <r>
    <n v="45"/>
    <d v="2023-07-03T00:00:00"/>
    <s v="CUST045"/>
    <x v="1"/>
    <n v="55"/>
    <x v="2"/>
    <n v="1"/>
    <n v="30"/>
    <x v="2"/>
    <x v="11"/>
    <x v="3"/>
    <x v="3"/>
  </r>
  <r>
    <n v="46"/>
    <d v="2023-06-26T00:00:00"/>
    <s v="CUST046"/>
    <x v="1"/>
    <n v="20"/>
    <x v="2"/>
    <n v="4"/>
    <n v="300"/>
    <x v="14"/>
    <x v="10"/>
    <x v="4"/>
    <x v="2"/>
  </r>
  <r>
    <n v="47"/>
    <d v="2023-11-06T00:00:00"/>
    <s v="CUST047"/>
    <x v="1"/>
    <n v="40"/>
    <x v="0"/>
    <n v="3"/>
    <n v="500"/>
    <x v="9"/>
    <x v="0"/>
    <x v="2"/>
    <x v="0"/>
  </r>
  <r>
    <n v="48"/>
    <d v="2023-05-16T00:00:00"/>
    <s v="CUST048"/>
    <x v="0"/>
    <n v="54"/>
    <x v="2"/>
    <n v="3"/>
    <n v="300"/>
    <x v="12"/>
    <x v="3"/>
    <x v="1"/>
    <x v="2"/>
  </r>
  <r>
    <n v="49"/>
    <d v="2023-01-23T00:00:00"/>
    <s v="CUST049"/>
    <x v="1"/>
    <n v="54"/>
    <x v="2"/>
    <n v="2"/>
    <n v="500"/>
    <x v="1"/>
    <x v="2"/>
    <x v="1"/>
    <x v="1"/>
  </r>
  <r>
    <n v="50"/>
    <d v="2023-08-24T00:00:00"/>
    <s v="CUST050"/>
    <x v="1"/>
    <n v="27"/>
    <x v="0"/>
    <n v="3"/>
    <n v="25"/>
    <x v="8"/>
    <x v="8"/>
    <x v="0"/>
    <x v="3"/>
  </r>
  <r>
    <n v="51"/>
    <d v="2023-10-02T00:00:00"/>
    <s v="CUST051"/>
    <x v="0"/>
    <n v="27"/>
    <x v="0"/>
    <n v="3"/>
    <n v="25"/>
    <x v="8"/>
    <x v="7"/>
    <x v="0"/>
    <x v="0"/>
  </r>
  <r>
    <n v="52"/>
    <d v="2023-03-05T00:00:00"/>
    <s v="CUST052"/>
    <x v="1"/>
    <n v="36"/>
    <x v="0"/>
    <n v="1"/>
    <n v="300"/>
    <x v="13"/>
    <x v="5"/>
    <x v="2"/>
    <x v="1"/>
  </r>
  <r>
    <n v="53"/>
    <d v="2023-07-13T00:00:00"/>
    <s v="CUST053"/>
    <x v="0"/>
    <n v="34"/>
    <x v="2"/>
    <n v="2"/>
    <n v="50"/>
    <x v="4"/>
    <x v="11"/>
    <x v="0"/>
    <x v="3"/>
  </r>
  <r>
    <n v="54"/>
    <d v="2023-02-10T00:00:00"/>
    <s v="CUST054"/>
    <x v="1"/>
    <n v="38"/>
    <x v="2"/>
    <n v="3"/>
    <n v="500"/>
    <x v="9"/>
    <x v="1"/>
    <x v="2"/>
    <x v="1"/>
  </r>
  <r>
    <n v="55"/>
    <d v="2023-10-10T00:00:00"/>
    <s v="CUST055"/>
    <x v="0"/>
    <n v="31"/>
    <x v="0"/>
    <n v="4"/>
    <n v="30"/>
    <x v="10"/>
    <x v="7"/>
    <x v="0"/>
    <x v="0"/>
  </r>
  <r>
    <n v="56"/>
    <d v="2023-05-31T00:00:00"/>
    <s v="CUST056"/>
    <x v="1"/>
    <n v="26"/>
    <x v="1"/>
    <n v="3"/>
    <n v="300"/>
    <x v="12"/>
    <x v="3"/>
    <x v="0"/>
    <x v="2"/>
  </r>
  <r>
    <n v="57"/>
    <d v="2023-11-18T00:00:00"/>
    <s v="CUST057"/>
    <x v="1"/>
    <n v="63"/>
    <x v="0"/>
    <n v="1"/>
    <n v="30"/>
    <x v="2"/>
    <x v="0"/>
    <x v="3"/>
    <x v="0"/>
  </r>
  <r>
    <n v="58"/>
    <d v="2023-11-13T00:00:00"/>
    <s v="CUST058"/>
    <x v="0"/>
    <n v="18"/>
    <x v="1"/>
    <n v="4"/>
    <n v="300"/>
    <x v="14"/>
    <x v="0"/>
    <x v="4"/>
    <x v="0"/>
  </r>
  <r>
    <n v="59"/>
    <d v="2023-07-05T00:00:00"/>
    <s v="CUST059"/>
    <x v="0"/>
    <n v="62"/>
    <x v="1"/>
    <n v="1"/>
    <n v="50"/>
    <x v="5"/>
    <x v="11"/>
    <x v="3"/>
    <x v="3"/>
  </r>
  <r>
    <n v="60"/>
    <d v="2023-10-23T00:00:00"/>
    <s v="CUST060"/>
    <x v="0"/>
    <n v="30"/>
    <x v="0"/>
    <n v="3"/>
    <n v="50"/>
    <x v="0"/>
    <x v="7"/>
    <x v="0"/>
    <x v="0"/>
  </r>
  <r>
    <n v="61"/>
    <d v="2023-04-09T00:00:00"/>
    <s v="CUST061"/>
    <x v="0"/>
    <n v="21"/>
    <x v="0"/>
    <n v="4"/>
    <n v="50"/>
    <x v="7"/>
    <x v="4"/>
    <x v="4"/>
    <x v="2"/>
  </r>
  <r>
    <n v="62"/>
    <d v="2023-12-27T00:00:00"/>
    <s v="CUST062"/>
    <x v="0"/>
    <n v="18"/>
    <x v="0"/>
    <n v="2"/>
    <n v="50"/>
    <x v="4"/>
    <x v="6"/>
    <x v="4"/>
    <x v="0"/>
  </r>
  <r>
    <n v="63"/>
    <d v="2023-02-05T00:00:00"/>
    <s v="CUST063"/>
    <x v="0"/>
    <n v="57"/>
    <x v="2"/>
    <n v="2"/>
    <n v="25"/>
    <x v="5"/>
    <x v="1"/>
    <x v="3"/>
    <x v="1"/>
  </r>
  <r>
    <n v="64"/>
    <d v="2023-01-24T00:00:00"/>
    <s v="CUST064"/>
    <x v="0"/>
    <n v="49"/>
    <x v="1"/>
    <n v="4"/>
    <n v="25"/>
    <x v="4"/>
    <x v="2"/>
    <x v="1"/>
    <x v="1"/>
  </r>
  <r>
    <n v="65"/>
    <d v="2023-12-05T00:00:00"/>
    <s v="CUST065"/>
    <x v="0"/>
    <n v="51"/>
    <x v="2"/>
    <n v="4"/>
    <n v="500"/>
    <x v="11"/>
    <x v="6"/>
    <x v="1"/>
    <x v="0"/>
  </r>
  <r>
    <n v="66"/>
    <d v="2023-04-27T00:00:00"/>
    <s v="CUST066"/>
    <x v="1"/>
    <n v="45"/>
    <x v="2"/>
    <n v="1"/>
    <n v="30"/>
    <x v="2"/>
    <x v="4"/>
    <x v="1"/>
    <x v="2"/>
  </r>
  <r>
    <n v="67"/>
    <d v="2023-05-29T00:00:00"/>
    <s v="CUST067"/>
    <x v="1"/>
    <n v="48"/>
    <x v="0"/>
    <n v="4"/>
    <n v="300"/>
    <x v="14"/>
    <x v="3"/>
    <x v="1"/>
    <x v="2"/>
  </r>
  <r>
    <n v="68"/>
    <d v="2023-02-10T00:00:00"/>
    <s v="CUST068"/>
    <x v="0"/>
    <n v="25"/>
    <x v="2"/>
    <n v="1"/>
    <n v="300"/>
    <x v="13"/>
    <x v="1"/>
    <x v="0"/>
    <x v="1"/>
  </r>
  <r>
    <n v="69"/>
    <d v="2023-04-30T00:00:00"/>
    <s v="CUST069"/>
    <x v="1"/>
    <n v="56"/>
    <x v="0"/>
    <n v="3"/>
    <n v="25"/>
    <x v="8"/>
    <x v="4"/>
    <x v="3"/>
    <x v="2"/>
  </r>
  <r>
    <n v="70"/>
    <d v="2023-02-21T00:00:00"/>
    <s v="CUST070"/>
    <x v="1"/>
    <n v="43"/>
    <x v="1"/>
    <n v="1"/>
    <n v="300"/>
    <x v="13"/>
    <x v="1"/>
    <x v="2"/>
    <x v="1"/>
  </r>
  <r>
    <n v="71"/>
    <d v="2023-07-14T00:00:00"/>
    <s v="CUST071"/>
    <x v="1"/>
    <n v="51"/>
    <x v="0"/>
    <n v="4"/>
    <n v="25"/>
    <x v="4"/>
    <x v="11"/>
    <x v="1"/>
    <x v="3"/>
  </r>
  <r>
    <n v="72"/>
    <d v="2023-05-23T00:00:00"/>
    <s v="CUST072"/>
    <x v="1"/>
    <n v="20"/>
    <x v="2"/>
    <n v="4"/>
    <n v="500"/>
    <x v="11"/>
    <x v="3"/>
    <x v="4"/>
    <x v="2"/>
  </r>
  <r>
    <n v="73"/>
    <d v="2023-08-21T00:00:00"/>
    <s v="CUST073"/>
    <x v="0"/>
    <n v="29"/>
    <x v="2"/>
    <n v="3"/>
    <n v="30"/>
    <x v="15"/>
    <x v="8"/>
    <x v="0"/>
    <x v="3"/>
  </r>
  <r>
    <n v="74"/>
    <d v="2023-11-22T00:00:00"/>
    <s v="CUST074"/>
    <x v="1"/>
    <n v="18"/>
    <x v="0"/>
    <n v="4"/>
    <n v="500"/>
    <x v="11"/>
    <x v="0"/>
    <x v="4"/>
    <x v="0"/>
  </r>
  <r>
    <n v="75"/>
    <d v="2023-07-06T00:00:00"/>
    <s v="CUST075"/>
    <x v="0"/>
    <n v="61"/>
    <x v="0"/>
    <n v="4"/>
    <n v="50"/>
    <x v="7"/>
    <x v="11"/>
    <x v="3"/>
    <x v="3"/>
  </r>
  <r>
    <n v="76"/>
    <d v="2023-03-25T00:00:00"/>
    <s v="CUST076"/>
    <x v="1"/>
    <n v="22"/>
    <x v="2"/>
    <n v="2"/>
    <n v="50"/>
    <x v="4"/>
    <x v="5"/>
    <x v="4"/>
    <x v="1"/>
  </r>
  <r>
    <n v="77"/>
    <d v="2023-07-09T00:00:00"/>
    <s v="CUST077"/>
    <x v="1"/>
    <n v="47"/>
    <x v="1"/>
    <n v="2"/>
    <n v="50"/>
    <x v="4"/>
    <x v="11"/>
    <x v="1"/>
    <x v="3"/>
  </r>
  <r>
    <n v="78"/>
    <d v="2023-07-01T00:00:00"/>
    <s v="CUST078"/>
    <x v="1"/>
    <n v="47"/>
    <x v="1"/>
    <n v="3"/>
    <n v="500"/>
    <x v="9"/>
    <x v="11"/>
    <x v="1"/>
    <x v="3"/>
  </r>
  <r>
    <n v="79"/>
    <d v="2023-04-18T00:00:00"/>
    <s v="CUST079"/>
    <x v="0"/>
    <n v="34"/>
    <x v="0"/>
    <n v="1"/>
    <n v="300"/>
    <x v="13"/>
    <x v="4"/>
    <x v="0"/>
    <x v="2"/>
  </r>
  <r>
    <n v="80"/>
    <d v="2023-12-10T00:00:00"/>
    <s v="CUST080"/>
    <x v="1"/>
    <n v="64"/>
    <x v="1"/>
    <n v="2"/>
    <n v="30"/>
    <x v="17"/>
    <x v="6"/>
    <x v="3"/>
    <x v="0"/>
  </r>
  <r>
    <n v="81"/>
    <d v="2023-05-17T00:00:00"/>
    <s v="CUST081"/>
    <x v="0"/>
    <n v="40"/>
    <x v="2"/>
    <n v="1"/>
    <n v="50"/>
    <x v="5"/>
    <x v="3"/>
    <x v="2"/>
    <x v="2"/>
  </r>
  <r>
    <n v="82"/>
    <d v="2023-12-26T00:00:00"/>
    <s v="CUST082"/>
    <x v="1"/>
    <n v="32"/>
    <x v="0"/>
    <n v="4"/>
    <n v="50"/>
    <x v="7"/>
    <x v="6"/>
    <x v="0"/>
    <x v="0"/>
  </r>
  <r>
    <n v="83"/>
    <d v="2023-12-16T00:00:00"/>
    <s v="CUST083"/>
    <x v="0"/>
    <n v="54"/>
    <x v="2"/>
    <n v="2"/>
    <n v="50"/>
    <x v="4"/>
    <x v="6"/>
    <x v="1"/>
    <x v="0"/>
  </r>
  <r>
    <n v="84"/>
    <d v="2023-11-28T00:00:00"/>
    <s v="CUST084"/>
    <x v="1"/>
    <n v="38"/>
    <x v="2"/>
    <n v="3"/>
    <n v="30"/>
    <x v="15"/>
    <x v="0"/>
    <x v="2"/>
    <x v="0"/>
  </r>
  <r>
    <n v="85"/>
    <d v="2023-02-06T00:00:00"/>
    <s v="CUST085"/>
    <x v="0"/>
    <n v="31"/>
    <x v="1"/>
    <n v="3"/>
    <n v="50"/>
    <x v="0"/>
    <x v="1"/>
    <x v="0"/>
    <x v="1"/>
  </r>
  <r>
    <n v="86"/>
    <d v="2023-11-08T00:00:00"/>
    <s v="CUST086"/>
    <x v="0"/>
    <n v="19"/>
    <x v="0"/>
    <n v="3"/>
    <n v="30"/>
    <x v="15"/>
    <x v="0"/>
    <x v="4"/>
    <x v="0"/>
  </r>
  <r>
    <n v="87"/>
    <d v="2023-11-22T00:00:00"/>
    <s v="CUST087"/>
    <x v="1"/>
    <n v="28"/>
    <x v="0"/>
    <n v="2"/>
    <n v="50"/>
    <x v="4"/>
    <x v="0"/>
    <x v="0"/>
    <x v="0"/>
  </r>
  <r>
    <n v="88"/>
    <d v="2023-03-29T00:00:00"/>
    <s v="CUST088"/>
    <x v="0"/>
    <n v="56"/>
    <x v="1"/>
    <n v="1"/>
    <n v="500"/>
    <x v="3"/>
    <x v="5"/>
    <x v="3"/>
    <x v="1"/>
  </r>
  <r>
    <n v="89"/>
    <d v="2023-10-01T00:00:00"/>
    <s v="CUST089"/>
    <x v="1"/>
    <n v="55"/>
    <x v="2"/>
    <n v="4"/>
    <n v="500"/>
    <x v="11"/>
    <x v="7"/>
    <x v="3"/>
    <x v="0"/>
  </r>
  <r>
    <n v="90"/>
    <d v="2023-05-06T00:00:00"/>
    <s v="CUST090"/>
    <x v="1"/>
    <n v="51"/>
    <x v="2"/>
    <n v="1"/>
    <n v="30"/>
    <x v="2"/>
    <x v="3"/>
    <x v="1"/>
    <x v="2"/>
  </r>
  <r>
    <n v="91"/>
    <d v="2023-03-25T00:00:00"/>
    <s v="CUST091"/>
    <x v="1"/>
    <n v="55"/>
    <x v="2"/>
    <n v="1"/>
    <n v="500"/>
    <x v="3"/>
    <x v="5"/>
    <x v="3"/>
    <x v="1"/>
  </r>
  <r>
    <n v="92"/>
    <d v="2023-08-25T00:00:00"/>
    <s v="CUST092"/>
    <x v="1"/>
    <n v="51"/>
    <x v="2"/>
    <n v="4"/>
    <n v="30"/>
    <x v="10"/>
    <x v="8"/>
    <x v="1"/>
    <x v="3"/>
  </r>
  <r>
    <n v="93"/>
    <d v="2023-07-14T00:00:00"/>
    <s v="CUST093"/>
    <x v="1"/>
    <n v="35"/>
    <x v="0"/>
    <n v="4"/>
    <n v="500"/>
    <x v="11"/>
    <x v="11"/>
    <x v="2"/>
    <x v="3"/>
  </r>
  <r>
    <n v="94"/>
    <d v="2023-05-19T00:00:00"/>
    <s v="CUST094"/>
    <x v="1"/>
    <n v="47"/>
    <x v="0"/>
    <n v="2"/>
    <n v="500"/>
    <x v="1"/>
    <x v="3"/>
    <x v="1"/>
    <x v="2"/>
  </r>
  <r>
    <n v="95"/>
    <d v="2023-11-24T00:00:00"/>
    <s v="CUST095"/>
    <x v="1"/>
    <n v="32"/>
    <x v="1"/>
    <n v="2"/>
    <n v="30"/>
    <x v="17"/>
    <x v="0"/>
    <x v="0"/>
    <x v="0"/>
  </r>
  <r>
    <n v="96"/>
    <d v="2023-12-19T00:00:00"/>
    <s v="CUST096"/>
    <x v="1"/>
    <n v="44"/>
    <x v="1"/>
    <n v="2"/>
    <n v="300"/>
    <x v="6"/>
    <x v="6"/>
    <x v="2"/>
    <x v="0"/>
  </r>
  <r>
    <n v="97"/>
    <d v="2023-10-13T00:00:00"/>
    <s v="CUST097"/>
    <x v="1"/>
    <n v="51"/>
    <x v="0"/>
    <n v="2"/>
    <n v="500"/>
    <x v="1"/>
    <x v="7"/>
    <x v="1"/>
    <x v="0"/>
  </r>
  <r>
    <n v="98"/>
    <d v="2023-04-23T00:00:00"/>
    <s v="CUST098"/>
    <x v="1"/>
    <n v="55"/>
    <x v="0"/>
    <n v="2"/>
    <n v="50"/>
    <x v="4"/>
    <x v="4"/>
    <x v="3"/>
    <x v="2"/>
  </r>
  <r>
    <n v="99"/>
    <d v="2023-12-17T00:00:00"/>
    <s v="CUST099"/>
    <x v="1"/>
    <n v="50"/>
    <x v="2"/>
    <n v="4"/>
    <n v="300"/>
    <x v="14"/>
    <x v="6"/>
    <x v="1"/>
    <x v="0"/>
  </r>
  <r>
    <n v="100"/>
    <d v="2023-06-16T00:00:00"/>
    <s v="CUST100"/>
    <x v="0"/>
    <n v="41"/>
    <x v="2"/>
    <n v="1"/>
    <n v="30"/>
    <x v="2"/>
    <x v="10"/>
    <x v="2"/>
    <x v="2"/>
  </r>
  <r>
    <n v="101"/>
    <d v="2023-01-29T00:00:00"/>
    <s v="CUST101"/>
    <x v="0"/>
    <n v="32"/>
    <x v="1"/>
    <n v="2"/>
    <n v="300"/>
    <x v="6"/>
    <x v="2"/>
    <x v="0"/>
    <x v="1"/>
  </r>
  <r>
    <n v="102"/>
    <d v="2023-04-28T00:00:00"/>
    <s v="CUST102"/>
    <x v="1"/>
    <n v="47"/>
    <x v="0"/>
    <n v="2"/>
    <n v="25"/>
    <x v="5"/>
    <x v="4"/>
    <x v="1"/>
    <x v="2"/>
  </r>
  <r>
    <n v="103"/>
    <d v="2023-01-17T00:00:00"/>
    <s v="CUST103"/>
    <x v="1"/>
    <n v="59"/>
    <x v="1"/>
    <n v="1"/>
    <n v="25"/>
    <x v="16"/>
    <x v="2"/>
    <x v="3"/>
    <x v="1"/>
  </r>
  <r>
    <n v="104"/>
    <d v="2023-06-11T00:00:00"/>
    <s v="CUST104"/>
    <x v="1"/>
    <n v="34"/>
    <x v="0"/>
    <n v="2"/>
    <n v="500"/>
    <x v="1"/>
    <x v="10"/>
    <x v="0"/>
    <x v="2"/>
  </r>
  <r>
    <n v="105"/>
    <d v="2023-07-25T00:00:00"/>
    <s v="CUST105"/>
    <x v="1"/>
    <n v="22"/>
    <x v="2"/>
    <n v="1"/>
    <n v="500"/>
    <x v="3"/>
    <x v="11"/>
    <x v="4"/>
    <x v="3"/>
  </r>
  <r>
    <n v="106"/>
    <d v="2023-05-18T00:00:00"/>
    <s v="CUST106"/>
    <x v="1"/>
    <n v="46"/>
    <x v="1"/>
    <n v="1"/>
    <n v="50"/>
    <x v="5"/>
    <x v="3"/>
    <x v="1"/>
    <x v="2"/>
  </r>
  <r>
    <n v="107"/>
    <d v="2023-02-03T00:00:00"/>
    <s v="CUST107"/>
    <x v="1"/>
    <n v="21"/>
    <x v="1"/>
    <n v="4"/>
    <n v="300"/>
    <x v="14"/>
    <x v="1"/>
    <x v="4"/>
    <x v="1"/>
  </r>
  <r>
    <n v="108"/>
    <d v="2023-04-19T00:00:00"/>
    <s v="CUST108"/>
    <x v="1"/>
    <n v="27"/>
    <x v="0"/>
    <n v="3"/>
    <n v="25"/>
    <x v="8"/>
    <x v="4"/>
    <x v="0"/>
    <x v="2"/>
  </r>
  <r>
    <n v="109"/>
    <d v="2023-10-18T00:00:00"/>
    <s v="CUST109"/>
    <x v="1"/>
    <n v="34"/>
    <x v="2"/>
    <n v="4"/>
    <n v="500"/>
    <x v="11"/>
    <x v="7"/>
    <x v="0"/>
    <x v="0"/>
  </r>
  <r>
    <n v="110"/>
    <d v="2023-06-11T00:00:00"/>
    <s v="CUST110"/>
    <x v="0"/>
    <n v="27"/>
    <x v="1"/>
    <n v="3"/>
    <n v="300"/>
    <x v="12"/>
    <x v="10"/>
    <x v="0"/>
    <x v="2"/>
  </r>
  <r>
    <n v="111"/>
    <d v="2023-04-19T00:00:00"/>
    <s v="CUST111"/>
    <x v="1"/>
    <n v="34"/>
    <x v="2"/>
    <n v="3"/>
    <n v="500"/>
    <x v="9"/>
    <x v="4"/>
    <x v="0"/>
    <x v="2"/>
  </r>
  <r>
    <n v="112"/>
    <d v="2023-12-02T00:00:00"/>
    <s v="CUST112"/>
    <x v="0"/>
    <n v="37"/>
    <x v="1"/>
    <n v="3"/>
    <n v="500"/>
    <x v="9"/>
    <x v="6"/>
    <x v="2"/>
    <x v="0"/>
  </r>
  <r>
    <n v="113"/>
    <d v="2023-09-13T00:00:00"/>
    <s v="CUST113"/>
    <x v="1"/>
    <n v="41"/>
    <x v="2"/>
    <n v="2"/>
    <n v="25"/>
    <x v="5"/>
    <x v="9"/>
    <x v="2"/>
    <x v="3"/>
  </r>
  <r>
    <n v="114"/>
    <d v="2023-07-22T00:00:00"/>
    <s v="CUST114"/>
    <x v="1"/>
    <n v="22"/>
    <x v="0"/>
    <n v="4"/>
    <n v="25"/>
    <x v="4"/>
    <x v="11"/>
    <x v="4"/>
    <x v="3"/>
  </r>
  <r>
    <n v="115"/>
    <d v="2023-11-26T00:00:00"/>
    <s v="CUST115"/>
    <x v="0"/>
    <n v="51"/>
    <x v="1"/>
    <n v="3"/>
    <n v="500"/>
    <x v="9"/>
    <x v="0"/>
    <x v="1"/>
    <x v="0"/>
  </r>
  <r>
    <n v="116"/>
    <d v="2023-08-23T00:00:00"/>
    <s v="CUST116"/>
    <x v="1"/>
    <n v="23"/>
    <x v="1"/>
    <n v="1"/>
    <n v="30"/>
    <x v="2"/>
    <x v="8"/>
    <x v="4"/>
    <x v="3"/>
  </r>
  <r>
    <n v="117"/>
    <d v="2023-03-15T00:00:00"/>
    <s v="CUST117"/>
    <x v="0"/>
    <n v="19"/>
    <x v="2"/>
    <n v="2"/>
    <n v="500"/>
    <x v="1"/>
    <x v="5"/>
    <x v="4"/>
    <x v="1"/>
  </r>
  <r>
    <n v="118"/>
    <d v="2023-05-16T00:00:00"/>
    <s v="CUST118"/>
    <x v="1"/>
    <n v="30"/>
    <x v="2"/>
    <n v="4"/>
    <n v="500"/>
    <x v="11"/>
    <x v="3"/>
    <x v="0"/>
    <x v="2"/>
  </r>
  <r>
    <n v="119"/>
    <d v="2023-03-13T00:00:00"/>
    <s v="CUST119"/>
    <x v="1"/>
    <n v="60"/>
    <x v="1"/>
    <n v="3"/>
    <n v="50"/>
    <x v="0"/>
    <x v="5"/>
    <x v="3"/>
    <x v="1"/>
  </r>
  <r>
    <n v="120"/>
    <d v="2023-05-07T00:00:00"/>
    <s v="CUST120"/>
    <x v="0"/>
    <n v="60"/>
    <x v="0"/>
    <n v="1"/>
    <n v="50"/>
    <x v="5"/>
    <x v="3"/>
    <x v="3"/>
    <x v="2"/>
  </r>
  <r>
    <n v="121"/>
    <d v="2023-10-15T00:00:00"/>
    <s v="CUST121"/>
    <x v="1"/>
    <n v="28"/>
    <x v="2"/>
    <n v="4"/>
    <n v="50"/>
    <x v="7"/>
    <x v="7"/>
    <x v="0"/>
    <x v="0"/>
  </r>
  <r>
    <n v="122"/>
    <d v="2023-10-03T00:00:00"/>
    <s v="CUST122"/>
    <x v="0"/>
    <n v="64"/>
    <x v="2"/>
    <n v="4"/>
    <n v="30"/>
    <x v="10"/>
    <x v="7"/>
    <x v="3"/>
    <x v="0"/>
  </r>
  <r>
    <n v="123"/>
    <d v="2023-05-15T00:00:00"/>
    <s v="CUST123"/>
    <x v="1"/>
    <n v="40"/>
    <x v="2"/>
    <n v="2"/>
    <n v="30"/>
    <x v="17"/>
    <x v="3"/>
    <x v="2"/>
    <x v="2"/>
  </r>
  <r>
    <n v="124"/>
    <d v="2023-10-27T00:00:00"/>
    <s v="CUST124"/>
    <x v="0"/>
    <n v="33"/>
    <x v="1"/>
    <n v="4"/>
    <n v="500"/>
    <x v="11"/>
    <x v="7"/>
    <x v="0"/>
    <x v="0"/>
  </r>
  <r>
    <n v="125"/>
    <d v="2023-08-08T00:00:00"/>
    <s v="CUST125"/>
    <x v="0"/>
    <n v="48"/>
    <x v="1"/>
    <n v="2"/>
    <n v="50"/>
    <x v="4"/>
    <x v="8"/>
    <x v="1"/>
    <x v="3"/>
  </r>
  <r>
    <n v="126"/>
    <d v="2023-10-26T00:00:00"/>
    <s v="CUST126"/>
    <x v="1"/>
    <n v="28"/>
    <x v="1"/>
    <n v="3"/>
    <n v="30"/>
    <x v="15"/>
    <x v="7"/>
    <x v="0"/>
    <x v="0"/>
  </r>
  <r>
    <n v="127"/>
    <d v="2023-07-24T00:00:00"/>
    <s v="CUST127"/>
    <x v="1"/>
    <n v="33"/>
    <x v="1"/>
    <n v="2"/>
    <n v="25"/>
    <x v="5"/>
    <x v="11"/>
    <x v="0"/>
    <x v="3"/>
  </r>
  <r>
    <n v="128"/>
    <d v="2023-07-05T00:00:00"/>
    <s v="CUST128"/>
    <x v="0"/>
    <n v="25"/>
    <x v="0"/>
    <n v="1"/>
    <n v="500"/>
    <x v="3"/>
    <x v="11"/>
    <x v="0"/>
    <x v="3"/>
  </r>
  <r>
    <n v="129"/>
    <d v="2023-04-23T00:00:00"/>
    <s v="CUST129"/>
    <x v="1"/>
    <n v="21"/>
    <x v="0"/>
    <n v="2"/>
    <n v="300"/>
    <x v="6"/>
    <x v="4"/>
    <x v="4"/>
    <x v="2"/>
  </r>
  <r>
    <n v="130"/>
    <d v="2023-03-12T00:00:00"/>
    <s v="CUST130"/>
    <x v="1"/>
    <n v="57"/>
    <x v="1"/>
    <n v="1"/>
    <n v="500"/>
    <x v="3"/>
    <x v="5"/>
    <x v="3"/>
    <x v="1"/>
  </r>
  <r>
    <n v="131"/>
    <d v="2023-09-18T00:00:00"/>
    <s v="CUST131"/>
    <x v="1"/>
    <n v="21"/>
    <x v="0"/>
    <n v="2"/>
    <n v="300"/>
    <x v="6"/>
    <x v="9"/>
    <x v="4"/>
    <x v="3"/>
  </r>
  <r>
    <n v="132"/>
    <d v="2023-09-10T00:00:00"/>
    <s v="CUST132"/>
    <x v="0"/>
    <n v="42"/>
    <x v="2"/>
    <n v="4"/>
    <n v="50"/>
    <x v="7"/>
    <x v="9"/>
    <x v="2"/>
    <x v="3"/>
  </r>
  <r>
    <n v="133"/>
    <d v="2023-02-16T00:00:00"/>
    <s v="CUST133"/>
    <x v="0"/>
    <n v="20"/>
    <x v="2"/>
    <n v="3"/>
    <n v="300"/>
    <x v="12"/>
    <x v="1"/>
    <x v="4"/>
    <x v="1"/>
  </r>
  <r>
    <n v="134"/>
    <d v="2023-01-25T00:00:00"/>
    <s v="CUST134"/>
    <x v="0"/>
    <n v="49"/>
    <x v="2"/>
    <n v="1"/>
    <n v="50"/>
    <x v="5"/>
    <x v="2"/>
    <x v="1"/>
    <x v="1"/>
  </r>
  <r>
    <n v="135"/>
    <d v="2023-02-26T00:00:00"/>
    <s v="CUST135"/>
    <x v="0"/>
    <n v="20"/>
    <x v="1"/>
    <n v="2"/>
    <n v="25"/>
    <x v="5"/>
    <x v="1"/>
    <x v="4"/>
    <x v="1"/>
  </r>
  <r>
    <n v="136"/>
    <d v="2023-03-20T00:00:00"/>
    <s v="CUST136"/>
    <x v="0"/>
    <n v="44"/>
    <x v="2"/>
    <n v="2"/>
    <n v="300"/>
    <x v="6"/>
    <x v="5"/>
    <x v="2"/>
    <x v="1"/>
  </r>
  <r>
    <n v="137"/>
    <d v="2023-11-18T00:00:00"/>
    <s v="CUST137"/>
    <x v="0"/>
    <n v="46"/>
    <x v="0"/>
    <n v="2"/>
    <n v="500"/>
    <x v="1"/>
    <x v="0"/>
    <x v="1"/>
    <x v="0"/>
  </r>
  <r>
    <n v="138"/>
    <d v="2023-03-23T00:00:00"/>
    <s v="CUST138"/>
    <x v="0"/>
    <n v="49"/>
    <x v="1"/>
    <n v="4"/>
    <n v="50"/>
    <x v="7"/>
    <x v="5"/>
    <x v="1"/>
    <x v="1"/>
  </r>
  <r>
    <n v="139"/>
    <d v="2023-12-15T00:00:00"/>
    <s v="CUST139"/>
    <x v="0"/>
    <n v="36"/>
    <x v="0"/>
    <n v="4"/>
    <n v="500"/>
    <x v="11"/>
    <x v="6"/>
    <x v="2"/>
    <x v="0"/>
  </r>
  <r>
    <n v="140"/>
    <d v="2023-08-05T00:00:00"/>
    <s v="CUST140"/>
    <x v="0"/>
    <n v="38"/>
    <x v="2"/>
    <n v="1"/>
    <n v="30"/>
    <x v="2"/>
    <x v="8"/>
    <x v="2"/>
    <x v="3"/>
  </r>
  <r>
    <n v="141"/>
    <d v="2023-11-02T00:00:00"/>
    <s v="CUST141"/>
    <x v="1"/>
    <n v="22"/>
    <x v="2"/>
    <n v="1"/>
    <n v="50"/>
    <x v="5"/>
    <x v="0"/>
    <x v="4"/>
    <x v="0"/>
  </r>
  <r>
    <n v="142"/>
    <d v="2023-02-02T00:00:00"/>
    <s v="CUST142"/>
    <x v="0"/>
    <n v="35"/>
    <x v="2"/>
    <n v="4"/>
    <n v="300"/>
    <x v="14"/>
    <x v="1"/>
    <x v="2"/>
    <x v="1"/>
  </r>
  <r>
    <n v="143"/>
    <d v="2023-07-17T00:00:00"/>
    <s v="CUST143"/>
    <x v="1"/>
    <n v="45"/>
    <x v="1"/>
    <n v="1"/>
    <n v="50"/>
    <x v="5"/>
    <x v="11"/>
    <x v="1"/>
    <x v="3"/>
  </r>
  <r>
    <n v="144"/>
    <d v="2023-07-15T00:00:00"/>
    <s v="CUST144"/>
    <x v="1"/>
    <n v="59"/>
    <x v="0"/>
    <n v="3"/>
    <n v="500"/>
    <x v="9"/>
    <x v="11"/>
    <x v="3"/>
    <x v="3"/>
  </r>
  <r>
    <n v="145"/>
    <d v="2023-11-02T00:00:00"/>
    <s v="CUST145"/>
    <x v="1"/>
    <n v="39"/>
    <x v="1"/>
    <n v="3"/>
    <n v="25"/>
    <x v="8"/>
    <x v="0"/>
    <x v="2"/>
    <x v="0"/>
  </r>
  <r>
    <n v="146"/>
    <d v="2023-08-28T00:00:00"/>
    <s v="CUST146"/>
    <x v="0"/>
    <n v="38"/>
    <x v="1"/>
    <n v="4"/>
    <n v="50"/>
    <x v="7"/>
    <x v="8"/>
    <x v="2"/>
    <x v="3"/>
  </r>
  <r>
    <n v="147"/>
    <d v="2023-09-28T00:00:00"/>
    <s v="CUST147"/>
    <x v="0"/>
    <n v="23"/>
    <x v="2"/>
    <n v="1"/>
    <n v="300"/>
    <x v="13"/>
    <x v="9"/>
    <x v="4"/>
    <x v="3"/>
  </r>
  <r>
    <n v="148"/>
    <d v="2023-05-09T00:00:00"/>
    <s v="CUST148"/>
    <x v="0"/>
    <n v="18"/>
    <x v="1"/>
    <n v="2"/>
    <n v="30"/>
    <x v="17"/>
    <x v="3"/>
    <x v="4"/>
    <x v="2"/>
  </r>
  <r>
    <n v="149"/>
    <d v="2023-10-11T00:00:00"/>
    <s v="CUST149"/>
    <x v="0"/>
    <n v="22"/>
    <x v="1"/>
    <n v="3"/>
    <n v="25"/>
    <x v="8"/>
    <x v="7"/>
    <x v="4"/>
    <x v="0"/>
  </r>
  <r>
    <n v="150"/>
    <d v="2023-01-06T00:00:00"/>
    <s v="CUST150"/>
    <x v="1"/>
    <n v="58"/>
    <x v="2"/>
    <n v="4"/>
    <n v="30"/>
    <x v="10"/>
    <x v="2"/>
    <x v="3"/>
    <x v="1"/>
  </r>
  <r>
    <n v="151"/>
    <d v="2023-12-15T00:00:00"/>
    <s v="CUST151"/>
    <x v="0"/>
    <n v="29"/>
    <x v="1"/>
    <n v="1"/>
    <n v="50"/>
    <x v="5"/>
    <x v="6"/>
    <x v="0"/>
    <x v="0"/>
  </r>
  <r>
    <n v="152"/>
    <d v="2023-02-28T00:00:00"/>
    <s v="CUST152"/>
    <x v="0"/>
    <n v="43"/>
    <x v="2"/>
    <n v="4"/>
    <n v="500"/>
    <x v="11"/>
    <x v="1"/>
    <x v="2"/>
    <x v="1"/>
  </r>
  <r>
    <n v="153"/>
    <d v="2023-12-16T00:00:00"/>
    <s v="CUST153"/>
    <x v="0"/>
    <n v="63"/>
    <x v="2"/>
    <n v="2"/>
    <n v="500"/>
    <x v="1"/>
    <x v="6"/>
    <x v="3"/>
    <x v="0"/>
  </r>
  <r>
    <n v="154"/>
    <d v="2023-10-02T00:00:00"/>
    <s v="CUST154"/>
    <x v="0"/>
    <n v="51"/>
    <x v="2"/>
    <n v="3"/>
    <n v="300"/>
    <x v="12"/>
    <x v="7"/>
    <x v="1"/>
    <x v="0"/>
  </r>
  <r>
    <n v="155"/>
    <d v="2023-05-17T00:00:00"/>
    <s v="CUST155"/>
    <x v="0"/>
    <n v="31"/>
    <x v="2"/>
    <n v="4"/>
    <n v="500"/>
    <x v="11"/>
    <x v="3"/>
    <x v="0"/>
    <x v="2"/>
  </r>
  <r>
    <n v="156"/>
    <d v="2023-11-25T00:00:00"/>
    <s v="CUST156"/>
    <x v="1"/>
    <n v="43"/>
    <x v="1"/>
    <n v="4"/>
    <n v="25"/>
    <x v="4"/>
    <x v="0"/>
    <x v="2"/>
    <x v="0"/>
  </r>
  <r>
    <n v="157"/>
    <d v="2023-06-24T00:00:00"/>
    <s v="CUST157"/>
    <x v="0"/>
    <n v="62"/>
    <x v="2"/>
    <n v="4"/>
    <n v="500"/>
    <x v="11"/>
    <x v="10"/>
    <x v="3"/>
    <x v="2"/>
  </r>
  <r>
    <n v="158"/>
    <d v="2023-02-27T00:00:00"/>
    <s v="CUST158"/>
    <x v="1"/>
    <n v="44"/>
    <x v="2"/>
    <n v="2"/>
    <n v="300"/>
    <x v="6"/>
    <x v="1"/>
    <x v="2"/>
    <x v="1"/>
  </r>
  <r>
    <n v="159"/>
    <d v="2023-05-31T00:00:00"/>
    <s v="CUST159"/>
    <x v="0"/>
    <n v="26"/>
    <x v="1"/>
    <n v="4"/>
    <n v="50"/>
    <x v="7"/>
    <x v="3"/>
    <x v="0"/>
    <x v="2"/>
  </r>
  <r>
    <n v="160"/>
    <d v="2023-08-11T00:00:00"/>
    <s v="CUST160"/>
    <x v="1"/>
    <n v="43"/>
    <x v="1"/>
    <n v="2"/>
    <n v="50"/>
    <x v="4"/>
    <x v="8"/>
    <x v="2"/>
    <x v="3"/>
  </r>
  <r>
    <n v="161"/>
    <d v="2023-03-22T00:00:00"/>
    <s v="CUST161"/>
    <x v="0"/>
    <n v="64"/>
    <x v="0"/>
    <n v="2"/>
    <n v="500"/>
    <x v="1"/>
    <x v="5"/>
    <x v="3"/>
    <x v="1"/>
  </r>
  <r>
    <n v="162"/>
    <d v="2023-08-21T00:00:00"/>
    <s v="CUST162"/>
    <x v="0"/>
    <n v="39"/>
    <x v="1"/>
    <n v="2"/>
    <n v="30"/>
    <x v="17"/>
    <x v="8"/>
    <x v="2"/>
    <x v="3"/>
  </r>
  <r>
    <n v="163"/>
    <d v="2023-01-02T00:00:00"/>
    <s v="CUST163"/>
    <x v="1"/>
    <n v="64"/>
    <x v="1"/>
    <n v="3"/>
    <n v="50"/>
    <x v="0"/>
    <x v="2"/>
    <x v="3"/>
    <x v="1"/>
  </r>
  <r>
    <n v="164"/>
    <d v="2023-05-15T00:00:00"/>
    <s v="CUST164"/>
    <x v="1"/>
    <n v="47"/>
    <x v="0"/>
    <n v="3"/>
    <n v="500"/>
    <x v="9"/>
    <x v="3"/>
    <x v="1"/>
    <x v="2"/>
  </r>
  <r>
    <n v="165"/>
    <d v="2023-09-14T00:00:00"/>
    <s v="CUST165"/>
    <x v="1"/>
    <n v="60"/>
    <x v="1"/>
    <n v="4"/>
    <n v="300"/>
    <x v="14"/>
    <x v="9"/>
    <x v="3"/>
    <x v="3"/>
  </r>
  <r>
    <n v="166"/>
    <d v="2023-04-02T00:00:00"/>
    <s v="CUST166"/>
    <x v="0"/>
    <n v="34"/>
    <x v="1"/>
    <n v="4"/>
    <n v="500"/>
    <x v="11"/>
    <x v="4"/>
    <x v="0"/>
    <x v="2"/>
  </r>
  <r>
    <n v="167"/>
    <d v="2023-09-17T00:00:00"/>
    <s v="CUST167"/>
    <x v="1"/>
    <n v="43"/>
    <x v="1"/>
    <n v="3"/>
    <n v="50"/>
    <x v="0"/>
    <x v="9"/>
    <x v="2"/>
    <x v="3"/>
  </r>
  <r>
    <n v="168"/>
    <d v="2023-02-24T00:00:00"/>
    <s v="CUST168"/>
    <x v="0"/>
    <n v="53"/>
    <x v="1"/>
    <n v="1"/>
    <n v="300"/>
    <x v="13"/>
    <x v="1"/>
    <x v="1"/>
    <x v="1"/>
  </r>
  <r>
    <n v="169"/>
    <d v="2023-11-17T00:00:00"/>
    <s v="CUST169"/>
    <x v="0"/>
    <n v="18"/>
    <x v="0"/>
    <n v="3"/>
    <n v="500"/>
    <x v="9"/>
    <x v="0"/>
    <x v="4"/>
    <x v="0"/>
  </r>
  <r>
    <n v="170"/>
    <d v="2023-06-02T00:00:00"/>
    <s v="CUST170"/>
    <x v="1"/>
    <n v="25"/>
    <x v="1"/>
    <n v="2"/>
    <n v="25"/>
    <x v="5"/>
    <x v="10"/>
    <x v="0"/>
    <x v="2"/>
  </r>
  <r>
    <n v="171"/>
    <d v="2023-11-24T00:00:00"/>
    <s v="CUST171"/>
    <x v="1"/>
    <n v="52"/>
    <x v="1"/>
    <n v="3"/>
    <n v="300"/>
    <x v="12"/>
    <x v="0"/>
    <x v="1"/>
    <x v="0"/>
  </r>
  <r>
    <n v="172"/>
    <d v="2023-09-17T00:00:00"/>
    <s v="CUST172"/>
    <x v="0"/>
    <n v="32"/>
    <x v="0"/>
    <n v="2"/>
    <n v="25"/>
    <x v="5"/>
    <x v="9"/>
    <x v="0"/>
    <x v="3"/>
  </r>
  <r>
    <n v="173"/>
    <d v="2023-11-08T00:00:00"/>
    <s v="CUST173"/>
    <x v="0"/>
    <n v="64"/>
    <x v="2"/>
    <n v="4"/>
    <n v="30"/>
    <x v="10"/>
    <x v="0"/>
    <x v="3"/>
    <x v="0"/>
  </r>
  <r>
    <n v="174"/>
    <d v="2023-04-12T00:00:00"/>
    <s v="CUST174"/>
    <x v="1"/>
    <n v="39"/>
    <x v="0"/>
    <n v="1"/>
    <n v="300"/>
    <x v="13"/>
    <x v="4"/>
    <x v="2"/>
    <x v="2"/>
  </r>
  <r>
    <n v="175"/>
    <d v="2023-03-20T00:00:00"/>
    <s v="CUST175"/>
    <x v="1"/>
    <n v="31"/>
    <x v="2"/>
    <n v="4"/>
    <n v="25"/>
    <x v="4"/>
    <x v="5"/>
    <x v="0"/>
    <x v="1"/>
  </r>
  <r>
    <n v="176"/>
    <d v="2023-07-11T00:00:00"/>
    <s v="CUST176"/>
    <x v="1"/>
    <n v="43"/>
    <x v="0"/>
    <n v="2"/>
    <n v="50"/>
    <x v="4"/>
    <x v="11"/>
    <x v="2"/>
    <x v="3"/>
  </r>
  <r>
    <n v="177"/>
    <d v="2023-03-24T00:00:00"/>
    <s v="CUST177"/>
    <x v="0"/>
    <n v="45"/>
    <x v="0"/>
    <n v="2"/>
    <n v="50"/>
    <x v="4"/>
    <x v="5"/>
    <x v="1"/>
    <x v="1"/>
  </r>
  <r>
    <n v="178"/>
    <d v="2023-10-04T00:00:00"/>
    <s v="CUST178"/>
    <x v="0"/>
    <n v="40"/>
    <x v="1"/>
    <n v="2"/>
    <n v="30"/>
    <x v="17"/>
    <x v="7"/>
    <x v="2"/>
    <x v="0"/>
  </r>
  <r>
    <n v="179"/>
    <d v="2023-09-29T00:00:00"/>
    <s v="CUST179"/>
    <x v="0"/>
    <n v="31"/>
    <x v="2"/>
    <n v="1"/>
    <n v="300"/>
    <x v="13"/>
    <x v="9"/>
    <x v="0"/>
    <x v="3"/>
  </r>
  <r>
    <n v="180"/>
    <d v="2023-01-01T00:00:00"/>
    <s v="CUST180"/>
    <x v="0"/>
    <n v="41"/>
    <x v="1"/>
    <n v="3"/>
    <n v="300"/>
    <x v="12"/>
    <x v="2"/>
    <x v="2"/>
    <x v="1"/>
  </r>
  <r>
    <n v="181"/>
    <d v="2023-11-03T00:00:00"/>
    <s v="CUST181"/>
    <x v="0"/>
    <n v="19"/>
    <x v="2"/>
    <n v="4"/>
    <n v="300"/>
    <x v="14"/>
    <x v="0"/>
    <x v="4"/>
    <x v="0"/>
  </r>
  <r>
    <n v="182"/>
    <d v="2023-06-15T00:00:00"/>
    <s v="CUST182"/>
    <x v="0"/>
    <n v="62"/>
    <x v="0"/>
    <n v="4"/>
    <n v="30"/>
    <x v="10"/>
    <x v="10"/>
    <x v="3"/>
    <x v="2"/>
  </r>
  <r>
    <n v="183"/>
    <d v="2023-09-08T00:00:00"/>
    <s v="CUST183"/>
    <x v="1"/>
    <n v="43"/>
    <x v="0"/>
    <n v="3"/>
    <n v="300"/>
    <x v="12"/>
    <x v="9"/>
    <x v="2"/>
    <x v="3"/>
  </r>
  <r>
    <n v="184"/>
    <d v="2023-01-10T00:00:00"/>
    <s v="CUST184"/>
    <x v="0"/>
    <n v="31"/>
    <x v="2"/>
    <n v="4"/>
    <n v="50"/>
    <x v="7"/>
    <x v="2"/>
    <x v="0"/>
    <x v="1"/>
  </r>
  <r>
    <n v="185"/>
    <d v="2023-02-27T00:00:00"/>
    <s v="CUST185"/>
    <x v="0"/>
    <n v="24"/>
    <x v="1"/>
    <n v="1"/>
    <n v="25"/>
    <x v="16"/>
    <x v="1"/>
    <x v="4"/>
    <x v="1"/>
  </r>
  <r>
    <n v="186"/>
    <d v="2023-07-05T00:00:00"/>
    <s v="CUST186"/>
    <x v="0"/>
    <n v="20"/>
    <x v="1"/>
    <n v="4"/>
    <n v="50"/>
    <x v="7"/>
    <x v="11"/>
    <x v="4"/>
    <x v="3"/>
  </r>
  <r>
    <n v="187"/>
    <d v="2023-06-07T00:00:00"/>
    <s v="CUST187"/>
    <x v="1"/>
    <n v="64"/>
    <x v="1"/>
    <n v="2"/>
    <n v="50"/>
    <x v="4"/>
    <x v="10"/>
    <x v="3"/>
    <x v="2"/>
  </r>
  <r>
    <n v="188"/>
    <d v="2023-05-03T00:00:00"/>
    <s v="CUST188"/>
    <x v="0"/>
    <n v="40"/>
    <x v="1"/>
    <n v="3"/>
    <n v="25"/>
    <x v="8"/>
    <x v="3"/>
    <x v="2"/>
    <x v="2"/>
  </r>
  <r>
    <n v="189"/>
    <d v="2023-01-30T00:00:00"/>
    <s v="CUST189"/>
    <x v="0"/>
    <n v="63"/>
    <x v="0"/>
    <n v="1"/>
    <n v="50"/>
    <x v="5"/>
    <x v="2"/>
    <x v="3"/>
    <x v="1"/>
  </r>
  <r>
    <n v="190"/>
    <d v="2023-05-04T00:00:00"/>
    <s v="CUST190"/>
    <x v="1"/>
    <n v="60"/>
    <x v="0"/>
    <n v="3"/>
    <n v="30"/>
    <x v="15"/>
    <x v="3"/>
    <x v="3"/>
    <x v="2"/>
  </r>
  <r>
    <n v="191"/>
    <d v="2023-10-18T00:00:00"/>
    <s v="CUST191"/>
    <x v="0"/>
    <n v="64"/>
    <x v="0"/>
    <n v="1"/>
    <n v="25"/>
    <x v="16"/>
    <x v="7"/>
    <x v="3"/>
    <x v="0"/>
  </r>
  <r>
    <n v="192"/>
    <d v="2023-02-10T00:00:00"/>
    <s v="CUST192"/>
    <x v="0"/>
    <n v="62"/>
    <x v="0"/>
    <n v="2"/>
    <n v="50"/>
    <x v="4"/>
    <x v="1"/>
    <x v="3"/>
    <x v="1"/>
  </r>
  <r>
    <n v="193"/>
    <d v="2023-02-13T00:00:00"/>
    <s v="CUST193"/>
    <x v="0"/>
    <n v="35"/>
    <x v="0"/>
    <n v="3"/>
    <n v="500"/>
    <x v="9"/>
    <x v="1"/>
    <x v="2"/>
    <x v="1"/>
  </r>
  <r>
    <n v="194"/>
    <d v="2023-09-06T00:00:00"/>
    <s v="CUST194"/>
    <x v="0"/>
    <n v="55"/>
    <x v="1"/>
    <n v="4"/>
    <n v="50"/>
    <x v="7"/>
    <x v="9"/>
    <x v="3"/>
    <x v="3"/>
  </r>
  <r>
    <n v="195"/>
    <d v="2023-02-05T00:00:00"/>
    <s v="CUST195"/>
    <x v="0"/>
    <n v="52"/>
    <x v="1"/>
    <n v="1"/>
    <n v="30"/>
    <x v="2"/>
    <x v="1"/>
    <x v="1"/>
    <x v="1"/>
  </r>
  <r>
    <n v="196"/>
    <d v="2023-09-30T00:00:00"/>
    <s v="CUST196"/>
    <x v="1"/>
    <n v="32"/>
    <x v="1"/>
    <n v="3"/>
    <n v="300"/>
    <x v="12"/>
    <x v="9"/>
    <x v="0"/>
    <x v="3"/>
  </r>
  <r>
    <n v="197"/>
    <d v="2023-03-06T00:00:00"/>
    <s v="CUST197"/>
    <x v="1"/>
    <n v="42"/>
    <x v="1"/>
    <n v="4"/>
    <n v="50"/>
    <x v="7"/>
    <x v="5"/>
    <x v="2"/>
    <x v="1"/>
  </r>
  <r>
    <n v="198"/>
    <d v="2023-03-07T00:00:00"/>
    <s v="CUST198"/>
    <x v="1"/>
    <n v="54"/>
    <x v="0"/>
    <n v="3"/>
    <n v="300"/>
    <x v="12"/>
    <x v="5"/>
    <x v="1"/>
    <x v="1"/>
  </r>
  <r>
    <n v="199"/>
    <d v="2023-12-04T00:00:00"/>
    <s v="CUST199"/>
    <x v="0"/>
    <n v="45"/>
    <x v="0"/>
    <n v="3"/>
    <n v="500"/>
    <x v="9"/>
    <x v="6"/>
    <x v="1"/>
    <x v="0"/>
  </r>
  <r>
    <n v="200"/>
    <d v="2023-09-01T00:00:00"/>
    <s v="CUST200"/>
    <x v="0"/>
    <n v="27"/>
    <x v="0"/>
    <n v="3"/>
    <n v="50"/>
    <x v="0"/>
    <x v="9"/>
    <x v="0"/>
    <x v="3"/>
  </r>
  <r>
    <n v="201"/>
    <d v="2023-10-09T00:00:00"/>
    <s v="CUST201"/>
    <x v="0"/>
    <n v="56"/>
    <x v="2"/>
    <n v="1"/>
    <n v="25"/>
    <x v="16"/>
    <x v="7"/>
    <x v="3"/>
    <x v="0"/>
  </r>
  <r>
    <n v="202"/>
    <d v="2023-03-26T00:00:00"/>
    <s v="CUST202"/>
    <x v="1"/>
    <n v="34"/>
    <x v="1"/>
    <n v="4"/>
    <n v="300"/>
    <x v="14"/>
    <x v="5"/>
    <x v="0"/>
    <x v="1"/>
  </r>
  <r>
    <n v="203"/>
    <d v="2023-05-16T00:00:00"/>
    <s v="CUST203"/>
    <x v="0"/>
    <n v="56"/>
    <x v="1"/>
    <n v="2"/>
    <n v="500"/>
    <x v="1"/>
    <x v="3"/>
    <x v="3"/>
    <x v="2"/>
  </r>
  <r>
    <n v="204"/>
    <d v="2023-09-28T00:00:00"/>
    <s v="CUST204"/>
    <x v="0"/>
    <n v="39"/>
    <x v="0"/>
    <n v="1"/>
    <n v="25"/>
    <x v="16"/>
    <x v="9"/>
    <x v="2"/>
    <x v="3"/>
  </r>
  <r>
    <n v="205"/>
    <d v="2023-11-07T00:00:00"/>
    <s v="CUST205"/>
    <x v="1"/>
    <n v="43"/>
    <x v="1"/>
    <n v="1"/>
    <n v="25"/>
    <x v="16"/>
    <x v="0"/>
    <x v="2"/>
    <x v="0"/>
  </r>
  <r>
    <n v="206"/>
    <d v="2023-08-05T00:00:00"/>
    <s v="CUST206"/>
    <x v="0"/>
    <n v="61"/>
    <x v="1"/>
    <n v="1"/>
    <n v="25"/>
    <x v="16"/>
    <x v="8"/>
    <x v="3"/>
    <x v="3"/>
  </r>
  <r>
    <n v="207"/>
    <d v="2023-04-19T00:00:00"/>
    <s v="CUST207"/>
    <x v="1"/>
    <n v="42"/>
    <x v="0"/>
    <n v="2"/>
    <n v="25"/>
    <x v="5"/>
    <x v="4"/>
    <x v="2"/>
    <x v="2"/>
  </r>
  <r>
    <n v="208"/>
    <d v="2023-10-04T00:00:00"/>
    <s v="CUST208"/>
    <x v="1"/>
    <n v="34"/>
    <x v="2"/>
    <n v="4"/>
    <n v="50"/>
    <x v="7"/>
    <x v="7"/>
    <x v="0"/>
    <x v="0"/>
  </r>
  <r>
    <n v="209"/>
    <d v="2023-12-20T00:00:00"/>
    <s v="CUST209"/>
    <x v="1"/>
    <n v="30"/>
    <x v="2"/>
    <n v="4"/>
    <n v="50"/>
    <x v="7"/>
    <x v="6"/>
    <x v="0"/>
    <x v="0"/>
  </r>
  <r>
    <n v="210"/>
    <d v="2023-04-13T00:00:00"/>
    <s v="CUST210"/>
    <x v="0"/>
    <n v="37"/>
    <x v="2"/>
    <n v="4"/>
    <n v="50"/>
    <x v="7"/>
    <x v="4"/>
    <x v="2"/>
    <x v="2"/>
  </r>
  <r>
    <n v="211"/>
    <d v="2024-01-01T00:00:00"/>
    <s v="CUST211"/>
    <x v="0"/>
    <n v="42"/>
    <x v="0"/>
    <n v="3"/>
    <n v="500"/>
    <x v="9"/>
    <x v="2"/>
    <x v="2"/>
    <x v="1"/>
  </r>
  <r>
    <n v="212"/>
    <d v="2023-06-09T00:00:00"/>
    <s v="CUST212"/>
    <x v="0"/>
    <n v="21"/>
    <x v="1"/>
    <n v="3"/>
    <n v="500"/>
    <x v="9"/>
    <x v="10"/>
    <x v="4"/>
    <x v="2"/>
  </r>
  <r>
    <n v="213"/>
    <d v="2023-07-24T00:00:00"/>
    <s v="CUST213"/>
    <x v="0"/>
    <n v="27"/>
    <x v="0"/>
    <n v="3"/>
    <n v="500"/>
    <x v="9"/>
    <x v="11"/>
    <x v="0"/>
    <x v="3"/>
  </r>
  <r>
    <n v="214"/>
    <d v="2023-12-10T00:00:00"/>
    <s v="CUST214"/>
    <x v="0"/>
    <n v="20"/>
    <x v="0"/>
    <n v="2"/>
    <n v="30"/>
    <x v="17"/>
    <x v="6"/>
    <x v="4"/>
    <x v="0"/>
  </r>
  <r>
    <n v="215"/>
    <d v="2023-11-29T00:00:00"/>
    <s v="CUST215"/>
    <x v="0"/>
    <n v="58"/>
    <x v="1"/>
    <n v="3"/>
    <n v="500"/>
    <x v="9"/>
    <x v="0"/>
    <x v="3"/>
    <x v="0"/>
  </r>
  <r>
    <n v="216"/>
    <d v="2023-07-11T00:00:00"/>
    <s v="CUST216"/>
    <x v="0"/>
    <n v="62"/>
    <x v="2"/>
    <n v="2"/>
    <n v="50"/>
    <x v="4"/>
    <x v="11"/>
    <x v="3"/>
    <x v="3"/>
  </r>
  <r>
    <n v="217"/>
    <d v="2023-08-13T00:00:00"/>
    <s v="CUST217"/>
    <x v="1"/>
    <n v="35"/>
    <x v="2"/>
    <n v="4"/>
    <n v="50"/>
    <x v="7"/>
    <x v="8"/>
    <x v="2"/>
    <x v="3"/>
  </r>
  <r>
    <n v="218"/>
    <d v="2023-09-22T00:00:00"/>
    <s v="CUST218"/>
    <x v="0"/>
    <n v="64"/>
    <x v="0"/>
    <n v="3"/>
    <n v="30"/>
    <x v="15"/>
    <x v="9"/>
    <x v="3"/>
    <x v="3"/>
  </r>
  <r>
    <n v="219"/>
    <d v="2023-08-20T00:00:00"/>
    <s v="CUST219"/>
    <x v="1"/>
    <n v="53"/>
    <x v="2"/>
    <n v="3"/>
    <n v="30"/>
    <x v="15"/>
    <x v="8"/>
    <x v="1"/>
    <x v="3"/>
  </r>
  <r>
    <n v="220"/>
    <d v="2023-03-03T00:00:00"/>
    <s v="CUST220"/>
    <x v="0"/>
    <n v="64"/>
    <x v="0"/>
    <n v="1"/>
    <n v="500"/>
    <x v="3"/>
    <x v="5"/>
    <x v="3"/>
    <x v="1"/>
  </r>
  <r>
    <n v="221"/>
    <d v="2023-05-07T00:00:00"/>
    <s v="CUST221"/>
    <x v="0"/>
    <n v="39"/>
    <x v="0"/>
    <n v="2"/>
    <n v="300"/>
    <x v="6"/>
    <x v="3"/>
    <x v="2"/>
    <x v="2"/>
  </r>
  <r>
    <n v="222"/>
    <d v="2023-04-26T00:00:00"/>
    <s v="CUST222"/>
    <x v="0"/>
    <n v="51"/>
    <x v="1"/>
    <n v="4"/>
    <n v="30"/>
    <x v="10"/>
    <x v="4"/>
    <x v="1"/>
    <x v="2"/>
  </r>
  <r>
    <n v="223"/>
    <d v="2023-02-02T00:00:00"/>
    <s v="CUST223"/>
    <x v="1"/>
    <n v="64"/>
    <x v="1"/>
    <n v="1"/>
    <n v="25"/>
    <x v="16"/>
    <x v="1"/>
    <x v="3"/>
    <x v="1"/>
  </r>
  <r>
    <n v="224"/>
    <d v="2023-06-23T00:00:00"/>
    <s v="CUST224"/>
    <x v="1"/>
    <n v="25"/>
    <x v="1"/>
    <n v="1"/>
    <n v="50"/>
    <x v="5"/>
    <x v="10"/>
    <x v="0"/>
    <x v="2"/>
  </r>
  <r>
    <n v="225"/>
    <d v="2023-01-11T00:00:00"/>
    <s v="CUST225"/>
    <x v="1"/>
    <n v="57"/>
    <x v="0"/>
    <n v="4"/>
    <n v="25"/>
    <x v="4"/>
    <x v="2"/>
    <x v="3"/>
    <x v="1"/>
  </r>
  <r>
    <n v="226"/>
    <d v="2023-10-29T00:00:00"/>
    <s v="CUST226"/>
    <x v="1"/>
    <n v="61"/>
    <x v="1"/>
    <n v="1"/>
    <n v="50"/>
    <x v="5"/>
    <x v="7"/>
    <x v="3"/>
    <x v="0"/>
  </r>
  <r>
    <n v="227"/>
    <d v="2023-10-11T00:00:00"/>
    <s v="CUST227"/>
    <x v="0"/>
    <n v="36"/>
    <x v="2"/>
    <n v="2"/>
    <n v="50"/>
    <x v="4"/>
    <x v="7"/>
    <x v="2"/>
    <x v="0"/>
  </r>
  <r>
    <n v="228"/>
    <d v="2023-04-28T00:00:00"/>
    <s v="CUST228"/>
    <x v="1"/>
    <n v="59"/>
    <x v="2"/>
    <n v="2"/>
    <n v="30"/>
    <x v="17"/>
    <x v="4"/>
    <x v="3"/>
    <x v="2"/>
  </r>
  <r>
    <n v="229"/>
    <d v="2023-10-29T00:00:00"/>
    <s v="CUST229"/>
    <x v="0"/>
    <n v="58"/>
    <x v="0"/>
    <n v="3"/>
    <n v="30"/>
    <x v="15"/>
    <x v="7"/>
    <x v="3"/>
    <x v="0"/>
  </r>
  <r>
    <n v="230"/>
    <d v="2023-04-23T00:00:00"/>
    <s v="CUST230"/>
    <x v="0"/>
    <n v="54"/>
    <x v="0"/>
    <n v="1"/>
    <n v="25"/>
    <x v="16"/>
    <x v="4"/>
    <x v="1"/>
    <x v="2"/>
  </r>
  <r>
    <n v="231"/>
    <d v="2023-01-04T00:00:00"/>
    <s v="CUST231"/>
    <x v="1"/>
    <n v="23"/>
    <x v="1"/>
    <n v="3"/>
    <n v="50"/>
    <x v="0"/>
    <x v="2"/>
    <x v="4"/>
    <x v="1"/>
  </r>
  <r>
    <n v="232"/>
    <d v="2023-02-06T00:00:00"/>
    <s v="CUST232"/>
    <x v="1"/>
    <n v="43"/>
    <x v="0"/>
    <n v="1"/>
    <n v="25"/>
    <x v="16"/>
    <x v="1"/>
    <x v="2"/>
    <x v="1"/>
  </r>
  <r>
    <n v="233"/>
    <d v="2023-12-29T00:00:00"/>
    <s v="CUST233"/>
    <x v="1"/>
    <n v="51"/>
    <x v="0"/>
    <n v="2"/>
    <n v="300"/>
    <x v="6"/>
    <x v="6"/>
    <x v="1"/>
    <x v="0"/>
  </r>
  <r>
    <n v="234"/>
    <d v="2023-11-20T00:00:00"/>
    <s v="CUST234"/>
    <x v="1"/>
    <n v="62"/>
    <x v="2"/>
    <n v="2"/>
    <n v="25"/>
    <x v="5"/>
    <x v="0"/>
    <x v="3"/>
    <x v="0"/>
  </r>
  <r>
    <n v="235"/>
    <d v="2023-01-31T00:00:00"/>
    <s v="CUST235"/>
    <x v="1"/>
    <n v="23"/>
    <x v="2"/>
    <n v="2"/>
    <n v="500"/>
    <x v="1"/>
    <x v="2"/>
    <x v="4"/>
    <x v="1"/>
  </r>
  <r>
    <n v="236"/>
    <d v="2023-04-28T00:00:00"/>
    <s v="CUST236"/>
    <x v="1"/>
    <n v="54"/>
    <x v="1"/>
    <n v="1"/>
    <n v="25"/>
    <x v="16"/>
    <x v="4"/>
    <x v="1"/>
    <x v="2"/>
  </r>
  <r>
    <n v="237"/>
    <d v="2023-02-04T00:00:00"/>
    <s v="CUST237"/>
    <x v="1"/>
    <n v="50"/>
    <x v="0"/>
    <n v="2"/>
    <n v="500"/>
    <x v="1"/>
    <x v="1"/>
    <x v="1"/>
    <x v="1"/>
  </r>
  <r>
    <n v="238"/>
    <d v="2023-01-17T00:00:00"/>
    <s v="CUST238"/>
    <x v="1"/>
    <n v="39"/>
    <x v="0"/>
    <n v="1"/>
    <n v="500"/>
    <x v="3"/>
    <x v="2"/>
    <x v="2"/>
    <x v="1"/>
  </r>
  <r>
    <n v="239"/>
    <d v="2023-06-19T00:00:00"/>
    <s v="CUST239"/>
    <x v="0"/>
    <n v="38"/>
    <x v="2"/>
    <n v="3"/>
    <n v="500"/>
    <x v="9"/>
    <x v="10"/>
    <x v="2"/>
    <x v="2"/>
  </r>
  <r>
    <n v="240"/>
    <d v="2023-02-06T00:00:00"/>
    <s v="CUST240"/>
    <x v="1"/>
    <n v="23"/>
    <x v="0"/>
    <n v="1"/>
    <n v="300"/>
    <x v="13"/>
    <x v="1"/>
    <x v="4"/>
    <x v="1"/>
  </r>
  <r>
    <n v="241"/>
    <d v="2023-09-21T00:00:00"/>
    <s v="CUST241"/>
    <x v="1"/>
    <n v="23"/>
    <x v="2"/>
    <n v="3"/>
    <n v="25"/>
    <x v="8"/>
    <x v="9"/>
    <x v="4"/>
    <x v="3"/>
  </r>
  <r>
    <n v="242"/>
    <d v="2023-05-02T00:00:00"/>
    <s v="CUST242"/>
    <x v="0"/>
    <n v="21"/>
    <x v="1"/>
    <n v="1"/>
    <n v="25"/>
    <x v="16"/>
    <x v="3"/>
    <x v="4"/>
    <x v="2"/>
  </r>
  <r>
    <n v="243"/>
    <d v="2023-05-23T00:00:00"/>
    <s v="CUST243"/>
    <x v="1"/>
    <n v="47"/>
    <x v="2"/>
    <n v="3"/>
    <n v="300"/>
    <x v="12"/>
    <x v="3"/>
    <x v="1"/>
    <x v="2"/>
  </r>
  <r>
    <n v="244"/>
    <d v="2023-12-09T00:00:00"/>
    <s v="CUST244"/>
    <x v="0"/>
    <n v="28"/>
    <x v="0"/>
    <n v="2"/>
    <n v="50"/>
    <x v="4"/>
    <x v="6"/>
    <x v="0"/>
    <x v="0"/>
  </r>
  <r>
    <n v="245"/>
    <d v="2023-09-06T00:00:00"/>
    <s v="CUST245"/>
    <x v="0"/>
    <n v="47"/>
    <x v="1"/>
    <n v="3"/>
    <n v="30"/>
    <x v="15"/>
    <x v="9"/>
    <x v="1"/>
    <x v="3"/>
  </r>
  <r>
    <n v="246"/>
    <d v="2023-04-20T00:00:00"/>
    <s v="CUST246"/>
    <x v="1"/>
    <n v="48"/>
    <x v="2"/>
    <n v="2"/>
    <n v="25"/>
    <x v="5"/>
    <x v="4"/>
    <x v="1"/>
    <x v="2"/>
  </r>
  <r>
    <n v="247"/>
    <d v="2023-10-04T00:00:00"/>
    <s v="CUST247"/>
    <x v="0"/>
    <n v="41"/>
    <x v="2"/>
    <n v="2"/>
    <n v="30"/>
    <x v="17"/>
    <x v="7"/>
    <x v="2"/>
    <x v="0"/>
  </r>
  <r>
    <n v="248"/>
    <d v="2023-03-09T00:00:00"/>
    <s v="CUST248"/>
    <x v="0"/>
    <n v="26"/>
    <x v="1"/>
    <n v="3"/>
    <n v="300"/>
    <x v="12"/>
    <x v="5"/>
    <x v="0"/>
    <x v="1"/>
  </r>
  <r>
    <n v="249"/>
    <d v="2023-10-20T00:00:00"/>
    <s v="CUST249"/>
    <x v="0"/>
    <n v="20"/>
    <x v="1"/>
    <n v="1"/>
    <n v="50"/>
    <x v="5"/>
    <x v="7"/>
    <x v="4"/>
    <x v="0"/>
  </r>
  <r>
    <n v="250"/>
    <d v="2023-10-23T00:00:00"/>
    <s v="CUST250"/>
    <x v="0"/>
    <n v="48"/>
    <x v="2"/>
    <n v="1"/>
    <n v="50"/>
    <x v="5"/>
    <x v="7"/>
    <x v="1"/>
    <x v="0"/>
  </r>
  <r>
    <n v="251"/>
    <d v="2023-08-31T00:00:00"/>
    <s v="CUST251"/>
    <x v="1"/>
    <n v="57"/>
    <x v="0"/>
    <n v="4"/>
    <n v="50"/>
    <x v="7"/>
    <x v="8"/>
    <x v="3"/>
    <x v="3"/>
  </r>
  <r>
    <n v="252"/>
    <d v="2023-05-05T00:00:00"/>
    <s v="CUST252"/>
    <x v="0"/>
    <n v="54"/>
    <x v="2"/>
    <n v="1"/>
    <n v="300"/>
    <x v="13"/>
    <x v="3"/>
    <x v="1"/>
    <x v="2"/>
  </r>
  <r>
    <n v="253"/>
    <d v="2023-08-31T00:00:00"/>
    <s v="CUST253"/>
    <x v="1"/>
    <n v="53"/>
    <x v="1"/>
    <n v="4"/>
    <n v="500"/>
    <x v="11"/>
    <x v="8"/>
    <x v="1"/>
    <x v="3"/>
  </r>
  <r>
    <n v="254"/>
    <d v="2023-07-28T00:00:00"/>
    <s v="CUST254"/>
    <x v="0"/>
    <n v="41"/>
    <x v="2"/>
    <n v="1"/>
    <n v="500"/>
    <x v="3"/>
    <x v="11"/>
    <x v="2"/>
    <x v="3"/>
  </r>
  <r>
    <n v="255"/>
    <d v="2023-04-08T00:00:00"/>
    <s v="CUST255"/>
    <x v="0"/>
    <n v="48"/>
    <x v="1"/>
    <n v="1"/>
    <n v="30"/>
    <x v="2"/>
    <x v="4"/>
    <x v="1"/>
    <x v="2"/>
  </r>
  <r>
    <n v="256"/>
    <d v="2023-02-18T00:00:00"/>
    <s v="CUST256"/>
    <x v="0"/>
    <n v="23"/>
    <x v="1"/>
    <n v="2"/>
    <n v="500"/>
    <x v="1"/>
    <x v="1"/>
    <x v="4"/>
    <x v="1"/>
  </r>
  <r>
    <n v="257"/>
    <d v="2023-02-19T00:00:00"/>
    <s v="CUST257"/>
    <x v="0"/>
    <n v="19"/>
    <x v="0"/>
    <n v="4"/>
    <n v="500"/>
    <x v="11"/>
    <x v="1"/>
    <x v="4"/>
    <x v="1"/>
  </r>
  <r>
    <n v="258"/>
    <d v="2023-12-04T00:00:00"/>
    <s v="CUST258"/>
    <x v="1"/>
    <n v="37"/>
    <x v="1"/>
    <n v="1"/>
    <n v="50"/>
    <x v="5"/>
    <x v="6"/>
    <x v="2"/>
    <x v="0"/>
  </r>
  <r>
    <n v="259"/>
    <d v="2023-08-09T00:00:00"/>
    <s v="CUST259"/>
    <x v="1"/>
    <n v="45"/>
    <x v="1"/>
    <n v="4"/>
    <n v="50"/>
    <x v="7"/>
    <x v="8"/>
    <x v="1"/>
    <x v="3"/>
  </r>
  <r>
    <n v="260"/>
    <d v="2023-07-01T00:00:00"/>
    <s v="CUST260"/>
    <x v="0"/>
    <n v="28"/>
    <x v="0"/>
    <n v="2"/>
    <n v="30"/>
    <x v="17"/>
    <x v="11"/>
    <x v="0"/>
    <x v="3"/>
  </r>
  <r>
    <n v="261"/>
    <d v="2023-08-05T00:00:00"/>
    <s v="CUST261"/>
    <x v="0"/>
    <n v="21"/>
    <x v="1"/>
    <n v="2"/>
    <n v="25"/>
    <x v="5"/>
    <x v="8"/>
    <x v="4"/>
    <x v="3"/>
  </r>
  <r>
    <n v="262"/>
    <d v="2023-07-30T00:00:00"/>
    <s v="CUST262"/>
    <x v="1"/>
    <n v="32"/>
    <x v="0"/>
    <n v="4"/>
    <n v="30"/>
    <x v="10"/>
    <x v="11"/>
    <x v="0"/>
    <x v="3"/>
  </r>
  <r>
    <n v="263"/>
    <d v="2023-08-28T00:00:00"/>
    <s v="CUST263"/>
    <x v="0"/>
    <n v="23"/>
    <x v="0"/>
    <n v="2"/>
    <n v="30"/>
    <x v="17"/>
    <x v="8"/>
    <x v="4"/>
    <x v="3"/>
  </r>
  <r>
    <n v="264"/>
    <d v="2023-01-28T00:00:00"/>
    <s v="CUST264"/>
    <x v="0"/>
    <n v="47"/>
    <x v="1"/>
    <n v="3"/>
    <n v="300"/>
    <x v="12"/>
    <x v="2"/>
    <x v="1"/>
    <x v="1"/>
  </r>
  <r>
    <n v="265"/>
    <d v="2023-12-11T00:00:00"/>
    <s v="CUST265"/>
    <x v="0"/>
    <n v="55"/>
    <x v="1"/>
    <n v="3"/>
    <n v="300"/>
    <x v="12"/>
    <x v="6"/>
    <x v="3"/>
    <x v="0"/>
  </r>
  <r>
    <n v="266"/>
    <d v="2023-12-01T00:00:00"/>
    <s v="CUST266"/>
    <x v="1"/>
    <n v="19"/>
    <x v="2"/>
    <n v="2"/>
    <n v="30"/>
    <x v="17"/>
    <x v="6"/>
    <x v="4"/>
    <x v="0"/>
  </r>
  <r>
    <n v="267"/>
    <d v="2023-11-27T00:00:00"/>
    <s v="CUST267"/>
    <x v="1"/>
    <n v="32"/>
    <x v="0"/>
    <n v="3"/>
    <n v="30"/>
    <x v="15"/>
    <x v="0"/>
    <x v="0"/>
    <x v="0"/>
  </r>
  <r>
    <n v="268"/>
    <d v="2023-02-20T00:00:00"/>
    <s v="CUST268"/>
    <x v="1"/>
    <n v="28"/>
    <x v="2"/>
    <n v="1"/>
    <n v="30"/>
    <x v="2"/>
    <x v="1"/>
    <x v="0"/>
    <x v="1"/>
  </r>
  <r>
    <n v="269"/>
    <d v="2023-02-01T00:00:00"/>
    <s v="CUST269"/>
    <x v="0"/>
    <n v="25"/>
    <x v="1"/>
    <n v="4"/>
    <n v="500"/>
    <x v="11"/>
    <x v="1"/>
    <x v="0"/>
    <x v="1"/>
  </r>
  <r>
    <n v="270"/>
    <d v="2023-07-26T00:00:00"/>
    <s v="CUST270"/>
    <x v="0"/>
    <n v="43"/>
    <x v="2"/>
    <n v="1"/>
    <n v="300"/>
    <x v="13"/>
    <x v="11"/>
    <x v="2"/>
    <x v="3"/>
  </r>
  <r>
    <n v="271"/>
    <d v="2023-06-23T00:00:00"/>
    <s v="CUST271"/>
    <x v="1"/>
    <n v="62"/>
    <x v="0"/>
    <n v="4"/>
    <n v="30"/>
    <x v="10"/>
    <x v="10"/>
    <x v="3"/>
    <x v="2"/>
  </r>
  <r>
    <n v="272"/>
    <d v="2023-02-25T00:00:00"/>
    <s v="CUST272"/>
    <x v="1"/>
    <n v="61"/>
    <x v="2"/>
    <n v="2"/>
    <n v="50"/>
    <x v="4"/>
    <x v="1"/>
    <x v="3"/>
    <x v="1"/>
  </r>
  <r>
    <n v="273"/>
    <d v="2023-05-08T00:00:00"/>
    <s v="CUST273"/>
    <x v="1"/>
    <n v="22"/>
    <x v="0"/>
    <n v="1"/>
    <n v="50"/>
    <x v="5"/>
    <x v="3"/>
    <x v="4"/>
    <x v="2"/>
  </r>
  <r>
    <n v="274"/>
    <d v="2023-04-09T00:00:00"/>
    <s v="CUST274"/>
    <x v="1"/>
    <n v="23"/>
    <x v="1"/>
    <n v="2"/>
    <n v="500"/>
    <x v="1"/>
    <x v="4"/>
    <x v="4"/>
    <x v="2"/>
  </r>
  <r>
    <n v="275"/>
    <d v="2023-04-08T00:00:00"/>
    <s v="CUST275"/>
    <x v="0"/>
    <n v="43"/>
    <x v="1"/>
    <n v="2"/>
    <n v="500"/>
    <x v="1"/>
    <x v="4"/>
    <x v="2"/>
    <x v="2"/>
  </r>
  <r>
    <n v="276"/>
    <d v="2023-10-02T00:00:00"/>
    <s v="CUST276"/>
    <x v="1"/>
    <n v="21"/>
    <x v="0"/>
    <n v="4"/>
    <n v="25"/>
    <x v="4"/>
    <x v="7"/>
    <x v="4"/>
    <x v="0"/>
  </r>
  <r>
    <n v="277"/>
    <d v="2023-08-18T00:00:00"/>
    <s v="CUST277"/>
    <x v="0"/>
    <n v="36"/>
    <x v="1"/>
    <n v="4"/>
    <n v="25"/>
    <x v="4"/>
    <x v="8"/>
    <x v="2"/>
    <x v="3"/>
  </r>
  <r>
    <n v="278"/>
    <d v="2023-03-13T00:00:00"/>
    <s v="CUST278"/>
    <x v="1"/>
    <n v="37"/>
    <x v="1"/>
    <n v="4"/>
    <n v="25"/>
    <x v="4"/>
    <x v="5"/>
    <x v="2"/>
    <x v="1"/>
  </r>
  <r>
    <n v="279"/>
    <d v="2023-08-05T00:00:00"/>
    <s v="CUST279"/>
    <x v="0"/>
    <n v="50"/>
    <x v="1"/>
    <n v="1"/>
    <n v="500"/>
    <x v="3"/>
    <x v="8"/>
    <x v="1"/>
    <x v="3"/>
  </r>
  <r>
    <n v="280"/>
    <d v="2023-04-04T00:00:00"/>
    <s v="CUST280"/>
    <x v="1"/>
    <n v="37"/>
    <x v="1"/>
    <n v="3"/>
    <n v="500"/>
    <x v="9"/>
    <x v="4"/>
    <x v="2"/>
    <x v="2"/>
  </r>
  <r>
    <n v="281"/>
    <d v="2023-05-23T00:00:00"/>
    <s v="CUST281"/>
    <x v="1"/>
    <n v="29"/>
    <x v="0"/>
    <n v="4"/>
    <n v="500"/>
    <x v="11"/>
    <x v="3"/>
    <x v="0"/>
    <x v="2"/>
  </r>
  <r>
    <n v="282"/>
    <d v="2023-08-25T00:00:00"/>
    <s v="CUST282"/>
    <x v="1"/>
    <n v="64"/>
    <x v="2"/>
    <n v="4"/>
    <n v="50"/>
    <x v="7"/>
    <x v="8"/>
    <x v="3"/>
    <x v="3"/>
  </r>
  <r>
    <n v="283"/>
    <d v="2023-05-08T00:00:00"/>
    <s v="CUST283"/>
    <x v="1"/>
    <n v="18"/>
    <x v="2"/>
    <n v="1"/>
    <n v="500"/>
    <x v="3"/>
    <x v="3"/>
    <x v="4"/>
    <x v="2"/>
  </r>
  <r>
    <n v="284"/>
    <d v="2023-02-08T00:00:00"/>
    <s v="CUST284"/>
    <x v="0"/>
    <n v="43"/>
    <x v="1"/>
    <n v="4"/>
    <n v="50"/>
    <x v="7"/>
    <x v="1"/>
    <x v="2"/>
    <x v="1"/>
  </r>
  <r>
    <n v="285"/>
    <d v="2023-08-15T00:00:00"/>
    <s v="CUST285"/>
    <x v="1"/>
    <n v="31"/>
    <x v="2"/>
    <n v="1"/>
    <n v="25"/>
    <x v="16"/>
    <x v="8"/>
    <x v="0"/>
    <x v="3"/>
  </r>
  <r>
    <n v="286"/>
    <d v="2023-10-09T00:00:00"/>
    <s v="CUST286"/>
    <x v="0"/>
    <n v="55"/>
    <x v="2"/>
    <n v="2"/>
    <n v="25"/>
    <x v="5"/>
    <x v="7"/>
    <x v="3"/>
    <x v="0"/>
  </r>
  <r>
    <n v="287"/>
    <d v="2023-02-20T00:00:00"/>
    <s v="CUST287"/>
    <x v="0"/>
    <n v="54"/>
    <x v="1"/>
    <n v="4"/>
    <n v="25"/>
    <x v="4"/>
    <x v="1"/>
    <x v="1"/>
    <x v="1"/>
  </r>
  <r>
    <n v="288"/>
    <d v="2023-01-26T00:00:00"/>
    <s v="CUST288"/>
    <x v="0"/>
    <n v="28"/>
    <x v="1"/>
    <n v="4"/>
    <n v="30"/>
    <x v="10"/>
    <x v="2"/>
    <x v="0"/>
    <x v="1"/>
  </r>
  <r>
    <n v="289"/>
    <d v="2023-11-30T00:00:00"/>
    <s v="CUST289"/>
    <x v="0"/>
    <n v="53"/>
    <x v="2"/>
    <n v="2"/>
    <n v="30"/>
    <x v="17"/>
    <x v="0"/>
    <x v="1"/>
    <x v="0"/>
  </r>
  <r>
    <n v="290"/>
    <d v="2023-10-04T00:00:00"/>
    <s v="CUST290"/>
    <x v="1"/>
    <n v="30"/>
    <x v="0"/>
    <n v="2"/>
    <n v="300"/>
    <x v="6"/>
    <x v="7"/>
    <x v="0"/>
    <x v="0"/>
  </r>
  <r>
    <n v="291"/>
    <d v="2023-01-08T00:00:00"/>
    <s v="CUST291"/>
    <x v="0"/>
    <n v="60"/>
    <x v="1"/>
    <n v="2"/>
    <n v="300"/>
    <x v="6"/>
    <x v="2"/>
    <x v="3"/>
    <x v="1"/>
  </r>
  <r>
    <n v="292"/>
    <d v="2023-02-17T00:00:00"/>
    <s v="CUST292"/>
    <x v="0"/>
    <n v="20"/>
    <x v="0"/>
    <n v="4"/>
    <n v="300"/>
    <x v="14"/>
    <x v="1"/>
    <x v="4"/>
    <x v="1"/>
  </r>
  <r>
    <n v="293"/>
    <d v="2023-05-02T00:00:00"/>
    <s v="CUST293"/>
    <x v="0"/>
    <n v="50"/>
    <x v="2"/>
    <n v="3"/>
    <n v="30"/>
    <x v="15"/>
    <x v="3"/>
    <x v="1"/>
    <x v="2"/>
  </r>
  <r>
    <n v="294"/>
    <d v="2023-03-27T00:00:00"/>
    <s v="CUST294"/>
    <x v="1"/>
    <n v="23"/>
    <x v="1"/>
    <n v="3"/>
    <n v="30"/>
    <x v="15"/>
    <x v="5"/>
    <x v="4"/>
    <x v="1"/>
  </r>
  <r>
    <n v="295"/>
    <d v="2023-07-28T00:00:00"/>
    <s v="CUST295"/>
    <x v="1"/>
    <n v="27"/>
    <x v="0"/>
    <n v="3"/>
    <n v="300"/>
    <x v="12"/>
    <x v="11"/>
    <x v="0"/>
    <x v="3"/>
  </r>
  <r>
    <n v="296"/>
    <d v="2023-09-06T00:00:00"/>
    <s v="CUST296"/>
    <x v="1"/>
    <n v="22"/>
    <x v="1"/>
    <n v="4"/>
    <n v="300"/>
    <x v="14"/>
    <x v="9"/>
    <x v="4"/>
    <x v="3"/>
  </r>
  <r>
    <n v="297"/>
    <d v="2023-09-04T00:00:00"/>
    <s v="CUST297"/>
    <x v="1"/>
    <n v="40"/>
    <x v="2"/>
    <n v="2"/>
    <n v="500"/>
    <x v="1"/>
    <x v="9"/>
    <x v="2"/>
    <x v="3"/>
  </r>
  <r>
    <n v="298"/>
    <d v="2023-04-20T00:00:00"/>
    <s v="CUST298"/>
    <x v="0"/>
    <n v="27"/>
    <x v="0"/>
    <n v="4"/>
    <n v="300"/>
    <x v="14"/>
    <x v="4"/>
    <x v="0"/>
    <x v="2"/>
  </r>
  <r>
    <n v="299"/>
    <d v="2023-07-25T00:00:00"/>
    <s v="CUST299"/>
    <x v="0"/>
    <n v="61"/>
    <x v="2"/>
    <n v="2"/>
    <n v="500"/>
    <x v="1"/>
    <x v="11"/>
    <x v="3"/>
    <x v="3"/>
  </r>
  <r>
    <n v="300"/>
    <d v="2023-01-31T00:00:00"/>
    <s v="CUST300"/>
    <x v="1"/>
    <n v="19"/>
    <x v="2"/>
    <n v="4"/>
    <n v="50"/>
    <x v="7"/>
    <x v="2"/>
    <x v="4"/>
    <x v="1"/>
  </r>
  <r>
    <n v="301"/>
    <d v="2023-03-26T00:00:00"/>
    <s v="CUST301"/>
    <x v="0"/>
    <n v="30"/>
    <x v="1"/>
    <n v="4"/>
    <n v="30"/>
    <x v="10"/>
    <x v="5"/>
    <x v="0"/>
    <x v="1"/>
  </r>
  <r>
    <n v="302"/>
    <d v="2023-07-14T00:00:00"/>
    <s v="CUST302"/>
    <x v="0"/>
    <n v="57"/>
    <x v="0"/>
    <n v="2"/>
    <n v="300"/>
    <x v="6"/>
    <x v="11"/>
    <x v="3"/>
    <x v="3"/>
  </r>
  <r>
    <n v="303"/>
    <d v="2023-01-02T00:00:00"/>
    <s v="CUST303"/>
    <x v="0"/>
    <n v="19"/>
    <x v="2"/>
    <n v="3"/>
    <n v="30"/>
    <x v="15"/>
    <x v="2"/>
    <x v="4"/>
    <x v="1"/>
  </r>
  <r>
    <n v="304"/>
    <d v="2023-07-19T00:00:00"/>
    <s v="CUST304"/>
    <x v="1"/>
    <n v="37"/>
    <x v="2"/>
    <n v="2"/>
    <n v="30"/>
    <x v="17"/>
    <x v="11"/>
    <x v="2"/>
    <x v="3"/>
  </r>
  <r>
    <n v="305"/>
    <d v="2023-05-16T00:00:00"/>
    <s v="CUST305"/>
    <x v="1"/>
    <n v="18"/>
    <x v="0"/>
    <n v="1"/>
    <n v="30"/>
    <x v="2"/>
    <x v="3"/>
    <x v="4"/>
    <x v="2"/>
  </r>
  <r>
    <n v="306"/>
    <d v="2023-08-21T00:00:00"/>
    <s v="CUST306"/>
    <x v="0"/>
    <n v="54"/>
    <x v="2"/>
    <n v="1"/>
    <n v="50"/>
    <x v="5"/>
    <x v="8"/>
    <x v="1"/>
    <x v="3"/>
  </r>
  <r>
    <n v="307"/>
    <d v="2023-05-27T00:00:00"/>
    <s v="CUST307"/>
    <x v="1"/>
    <n v="26"/>
    <x v="2"/>
    <n v="2"/>
    <n v="25"/>
    <x v="5"/>
    <x v="3"/>
    <x v="0"/>
    <x v="2"/>
  </r>
  <r>
    <n v="308"/>
    <d v="2023-08-05T00:00:00"/>
    <s v="CUST308"/>
    <x v="1"/>
    <n v="34"/>
    <x v="0"/>
    <n v="4"/>
    <n v="300"/>
    <x v="14"/>
    <x v="8"/>
    <x v="0"/>
    <x v="3"/>
  </r>
  <r>
    <n v="309"/>
    <d v="2023-12-23T00:00:00"/>
    <s v="CUST309"/>
    <x v="1"/>
    <n v="26"/>
    <x v="0"/>
    <n v="1"/>
    <n v="25"/>
    <x v="16"/>
    <x v="6"/>
    <x v="0"/>
    <x v="0"/>
  </r>
  <r>
    <n v="310"/>
    <d v="2023-10-12T00:00:00"/>
    <s v="CUST310"/>
    <x v="1"/>
    <n v="28"/>
    <x v="0"/>
    <n v="1"/>
    <n v="25"/>
    <x v="16"/>
    <x v="7"/>
    <x v="0"/>
    <x v="0"/>
  </r>
  <r>
    <n v="311"/>
    <d v="2023-12-05T00:00:00"/>
    <s v="CUST311"/>
    <x v="1"/>
    <n v="32"/>
    <x v="0"/>
    <n v="4"/>
    <n v="25"/>
    <x v="4"/>
    <x v="6"/>
    <x v="0"/>
    <x v="0"/>
  </r>
  <r>
    <n v="312"/>
    <d v="2023-09-07T00:00:00"/>
    <s v="CUST312"/>
    <x v="0"/>
    <n v="41"/>
    <x v="1"/>
    <n v="4"/>
    <n v="30"/>
    <x v="10"/>
    <x v="9"/>
    <x v="2"/>
    <x v="3"/>
  </r>
  <r>
    <n v="313"/>
    <d v="2023-03-21T00:00:00"/>
    <s v="CUST313"/>
    <x v="1"/>
    <n v="55"/>
    <x v="0"/>
    <n v="3"/>
    <n v="500"/>
    <x v="9"/>
    <x v="5"/>
    <x v="3"/>
    <x v="1"/>
  </r>
  <r>
    <n v="314"/>
    <d v="2023-04-08T00:00:00"/>
    <s v="CUST314"/>
    <x v="0"/>
    <n v="52"/>
    <x v="1"/>
    <n v="4"/>
    <n v="30"/>
    <x v="10"/>
    <x v="4"/>
    <x v="1"/>
    <x v="2"/>
  </r>
  <r>
    <n v="315"/>
    <d v="2023-06-01T00:00:00"/>
    <s v="CUST315"/>
    <x v="0"/>
    <n v="47"/>
    <x v="1"/>
    <n v="2"/>
    <n v="30"/>
    <x v="17"/>
    <x v="10"/>
    <x v="1"/>
    <x v="2"/>
  </r>
  <r>
    <n v="316"/>
    <d v="2023-04-22T00:00:00"/>
    <s v="CUST316"/>
    <x v="1"/>
    <n v="48"/>
    <x v="1"/>
    <n v="2"/>
    <n v="25"/>
    <x v="5"/>
    <x v="4"/>
    <x v="1"/>
    <x v="2"/>
  </r>
  <r>
    <n v="317"/>
    <d v="2023-01-30T00:00:00"/>
    <s v="CUST317"/>
    <x v="0"/>
    <n v="22"/>
    <x v="2"/>
    <n v="3"/>
    <n v="30"/>
    <x v="15"/>
    <x v="2"/>
    <x v="4"/>
    <x v="1"/>
  </r>
  <r>
    <n v="318"/>
    <d v="2023-10-24T00:00:00"/>
    <s v="CUST318"/>
    <x v="0"/>
    <n v="61"/>
    <x v="1"/>
    <n v="1"/>
    <n v="25"/>
    <x v="16"/>
    <x v="7"/>
    <x v="3"/>
    <x v="0"/>
  </r>
  <r>
    <n v="319"/>
    <d v="2023-10-05T00:00:00"/>
    <s v="CUST319"/>
    <x v="0"/>
    <n v="31"/>
    <x v="1"/>
    <n v="1"/>
    <n v="500"/>
    <x v="3"/>
    <x v="7"/>
    <x v="0"/>
    <x v="0"/>
  </r>
  <r>
    <n v="320"/>
    <d v="2023-02-01T00:00:00"/>
    <s v="CUST320"/>
    <x v="1"/>
    <n v="28"/>
    <x v="2"/>
    <n v="4"/>
    <n v="300"/>
    <x v="14"/>
    <x v="1"/>
    <x v="0"/>
    <x v="1"/>
  </r>
  <r>
    <n v="321"/>
    <d v="2023-06-10T00:00:00"/>
    <s v="CUST321"/>
    <x v="1"/>
    <n v="26"/>
    <x v="2"/>
    <n v="2"/>
    <n v="25"/>
    <x v="5"/>
    <x v="10"/>
    <x v="0"/>
    <x v="2"/>
  </r>
  <r>
    <n v="322"/>
    <d v="2023-01-30T00:00:00"/>
    <s v="CUST322"/>
    <x v="0"/>
    <n v="51"/>
    <x v="2"/>
    <n v="1"/>
    <n v="500"/>
    <x v="3"/>
    <x v="2"/>
    <x v="1"/>
    <x v="1"/>
  </r>
  <r>
    <n v="323"/>
    <d v="2023-01-26T00:00:00"/>
    <s v="CUST323"/>
    <x v="1"/>
    <n v="29"/>
    <x v="0"/>
    <n v="3"/>
    <n v="300"/>
    <x v="12"/>
    <x v="2"/>
    <x v="0"/>
    <x v="1"/>
  </r>
  <r>
    <n v="324"/>
    <d v="2023-10-27T00:00:00"/>
    <s v="CUST324"/>
    <x v="1"/>
    <n v="52"/>
    <x v="2"/>
    <n v="3"/>
    <n v="50"/>
    <x v="0"/>
    <x v="7"/>
    <x v="1"/>
    <x v="0"/>
  </r>
  <r>
    <n v="325"/>
    <d v="2023-09-02T00:00:00"/>
    <s v="CUST325"/>
    <x v="1"/>
    <n v="52"/>
    <x v="2"/>
    <n v="2"/>
    <n v="25"/>
    <x v="5"/>
    <x v="9"/>
    <x v="1"/>
    <x v="3"/>
  </r>
  <r>
    <n v="326"/>
    <d v="2023-09-15T00:00:00"/>
    <s v="CUST326"/>
    <x v="1"/>
    <n v="18"/>
    <x v="1"/>
    <n v="3"/>
    <n v="25"/>
    <x v="8"/>
    <x v="9"/>
    <x v="4"/>
    <x v="3"/>
  </r>
  <r>
    <n v="327"/>
    <d v="2023-09-29T00:00:00"/>
    <s v="CUST327"/>
    <x v="0"/>
    <n v="57"/>
    <x v="2"/>
    <n v="3"/>
    <n v="50"/>
    <x v="0"/>
    <x v="9"/>
    <x v="3"/>
    <x v="3"/>
  </r>
  <r>
    <n v="328"/>
    <d v="2023-03-22T00:00:00"/>
    <s v="CUST328"/>
    <x v="0"/>
    <n v="39"/>
    <x v="0"/>
    <n v="2"/>
    <n v="50"/>
    <x v="4"/>
    <x v="5"/>
    <x v="2"/>
    <x v="1"/>
  </r>
  <r>
    <n v="329"/>
    <d v="2023-01-30T00:00:00"/>
    <s v="CUST329"/>
    <x v="1"/>
    <n v="46"/>
    <x v="2"/>
    <n v="4"/>
    <n v="25"/>
    <x v="4"/>
    <x v="2"/>
    <x v="1"/>
    <x v="1"/>
  </r>
  <r>
    <n v="330"/>
    <d v="2023-09-18T00:00:00"/>
    <s v="CUST330"/>
    <x v="1"/>
    <n v="25"/>
    <x v="0"/>
    <n v="4"/>
    <n v="50"/>
    <x v="7"/>
    <x v="9"/>
    <x v="0"/>
    <x v="3"/>
  </r>
  <r>
    <n v="331"/>
    <d v="2023-02-11T00:00:00"/>
    <s v="CUST331"/>
    <x v="0"/>
    <n v="28"/>
    <x v="2"/>
    <n v="3"/>
    <n v="30"/>
    <x v="15"/>
    <x v="1"/>
    <x v="0"/>
    <x v="1"/>
  </r>
  <r>
    <n v="332"/>
    <d v="2023-04-06T00:00:00"/>
    <s v="CUST332"/>
    <x v="0"/>
    <n v="58"/>
    <x v="2"/>
    <n v="4"/>
    <n v="300"/>
    <x v="14"/>
    <x v="4"/>
    <x v="3"/>
    <x v="2"/>
  </r>
  <r>
    <n v="333"/>
    <d v="2023-02-05T00:00:00"/>
    <s v="CUST333"/>
    <x v="1"/>
    <n v="54"/>
    <x v="2"/>
    <n v="4"/>
    <n v="300"/>
    <x v="14"/>
    <x v="1"/>
    <x v="1"/>
    <x v="1"/>
  </r>
  <r>
    <n v="334"/>
    <d v="2023-11-01T00:00:00"/>
    <s v="CUST334"/>
    <x v="0"/>
    <n v="31"/>
    <x v="2"/>
    <n v="3"/>
    <n v="300"/>
    <x v="12"/>
    <x v="0"/>
    <x v="0"/>
    <x v="0"/>
  </r>
  <r>
    <n v="335"/>
    <d v="2023-02-04T00:00:00"/>
    <s v="CUST335"/>
    <x v="1"/>
    <n v="47"/>
    <x v="0"/>
    <n v="4"/>
    <n v="30"/>
    <x v="10"/>
    <x v="1"/>
    <x v="1"/>
    <x v="1"/>
  </r>
  <r>
    <n v="336"/>
    <d v="2023-12-12T00:00:00"/>
    <s v="CUST336"/>
    <x v="1"/>
    <n v="52"/>
    <x v="0"/>
    <n v="3"/>
    <n v="50"/>
    <x v="0"/>
    <x v="6"/>
    <x v="1"/>
    <x v="0"/>
  </r>
  <r>
    <n v="337"/>
    <d v="2023-05-01T00:00:00"/>
    <s v="CUST337"/>
    <x v="0"/>
    <n v="38"/>
    <x v="1"/>
    <n v="1"/>
    <n v="500"/>
    <x v="3"/>
    <x v="3"/>
    <x v="2"/>
    <x v="2"/>
  </r>
  <r>
    <n v="338"/>
    <d v="2023-07-26T00:00:00"/>
    <s v="CUST338"/>
    <x v="0"/>
    <n v="54"/>
    <x v="0"/>
    <n v="2"/>
    <n v="50"/>
    <x v="4"/>
    <x v="11"/>
    <x v="1"/>
    <x v="3"/>
  </r>
  <r>
    <n v="339"/>
    <d v="2023-03-03T00:00:00"/>
    <s v="CUST339"/>
    <x v="1"/>
    <n v="22"/>
    <x v="2"/>
    <n v="2"/>
    <n v="25"/>
    <x v="5"/>
    <x v="5"/>
    <x v="4"/>
    <x v="1"/>
  </r>
  <r>
    <n v="340"/>
    <d v="2023-10-19T00:00:00"/>
    <s v="CUST340"/>
    <x v="1"/>
    <n v="36"/>
    <x v="1"/>
    <n v="4"/>
    <n v="300"/>
    <x v="14"/>
    <x v="7"/>
    <x v="2"/>
    <x v="0"/>
  </r>
  <r>
    <n v="341"/>
    <d v="2023-05-07T00:00:00"/>
    <s v="CUST341"/>
    <x v="0"/>
    <n v="31"/>
    <x v="1"/>
    <n v="4"/>
    <n v="50"/>
    <x v="7"/>
    <x v="3"/>
    <x v="0"/>
    <x v="2"/>
  </r>
  <r>
    <n v="342"/>
    <d v="2023-10-24T00:00:00"/>
    <s v="CUST342"/>
    <x v="1"/>
    <n v="43"/>
    <x v="1"/>
    <n v="4"/>
    <n v="500"/>
    <x v="11"/>
    <x v="7"/>
    <x v="2"/>
    <x v="0"/>
  </r>
  <r>
    <n v="343"/>
    <d v="2023-11-01T00:00:00"/>
    <s v="CUST343"/>
    <x v="0"/>
    <n v="21"/>
    <x v="2"/>
    <n v="2"/>
    <n v="25"/>
    <x v="5"/>
    <x v="0"/>
    <x v="4"/>
    <x v="0"/>
  </r>
  <r>
    <n v="344"/>
    <d v="2023-01-21T00:00:00"/>
    <s v="CUST344"/>
    <x v="1"/>
    <n v="42"/>
    <x v="0"/>
    <n v="1"/>
    <n v="30"/>
    <x v="2"/>
    <x v="2"/>
    <x v="2"/>
    <x v="1"/>
  </r>
  <r>
    <n v="345"/>
    <d v="2023-11-14T00:00:00"/>
    <s v="CUST345"/>
    <x v="0"/>
    <n v="62"/>
    <x v="2"/>
    <n v="1"/>
    <n v="30"/>
    <x v="2"/>
    <x v="0"/>
    <x v="3"/>
    <x v="0"/>
  </r>
  <r>
    <n v="346"/>
    <d v="2023-02-11T00:00:00"/>
    <s v="CUST346"/>
    <x v="0"/>
    <n v="59"/>
    <x v="1"/>
    <n v="2"/>
    <n v="500"/>
    <x v="1"/>
    <x v="1"/>
    <x v="3"/>
    <x v="1"/>
  </r>
  <r>
    <n v="347"/>
    <d v="2023-08-03T00:00:00"/>
    <s v="CUST347"/>
    <x v="0"/>
    <n v="42"/>
    <x v="2"/>
    <n v="1"/>
    <n v="25"/>
    <x v="16"/>
    <x v="8"/>
    <x v="2"/>
    <x v="3"/>
  </r>
  <r>
    <n v="348"/>
    <d v="2023-12-03T00:00:00"/>
    <s v="CUST348"/>
    <x v="1"/>
    <n v="35"/>
    <x v="2"/>
    <n v="2"/>
    <n v="300"/>
    <x v="6"/>
    <x v="6"/>
    <x v="2"/>
    <x v="0"/>
  </r>
  <r>
    <n v="349"/>
    <d v="2023-10-26T00:00:00"/>
    <s v="CUST349"/>
    <x v="1"/>
    <n v="57"/>
    <x v="0"/>
    <n v="1"/>
    <n v="50"/>
    <x v="5"/>
    <x v="7"/>
    <x v="3"/>
    <x v="0"/>
  </r>
  <r>
    <n v="350"/>
    <d v="2023-10-17T00:00:00"/>
    <s v="CUST350"/>
    <x v="0"/>
    <n v="25"/>
    <x v="0"/>
    <n v="3"/>
    <n v="25"/>
    <x v="8"/>
    <x v="7"/>
    <x v="0"/>
    <x v="0"/>
  </r>
  <r>
    <n v="351"/>
    <d v="2023-09-25T00:00:00"/>
    <s v="CUST351"/>
    <x v="1"/>
    <n v="56"/>
    <x v="1"/>
    <n v="3"/>
    <n v="30"/>
    <x v="15"/>
    <x v="9"/>
    <x v="3"/>
    <x v="3"/>
  </r>
  <r>
    <n v="352"/>
    <d v="2023-06-11T00:00:00"/>
    <s v="CUST352"/>
    <x v="0"/>
    <n v="57"/>
    <x v="2"/>
    <n v="2"/>
    <n v="500"/>
    <x v="1"/>
    <x v="10"/>
    <x v="3"/>
    <x v="2"/>
  </r>
  <r>
    <n v="353"/>
    <d v="2023-05-14T00:00:00"/>
    <s v="CUST353"/>
    <x v="0"/>
    <n v="31"/>
    <x v="2"/>
    <n v="1"/>
    <n v="500"/>
    <x v="3"/>
    <x v="3"/>
    <x v="0"/>
    <x v="2"/>
  </r>
  <r>
    <n v="354"/>
    <d v="2023-04-15T00:00:00"/>
    <s v="CUST354"/>
    <x v="1"/>
    <n v="49"/>
    <x v="0"/>
    <n v="4"/>
    <n v="50"/>
    <x v="7"/>
    <x v="4"/>
    <x v="1"/>
    <x v="2"/>
  </r>
  <r>
    <n v="355"/>
    <d v="2023-12-09T00:00:00"/>
    <s v="CUST355"/>
    <x v="1"/>
    <n v="55"/>
    <x v="2"/>
    <n v="1"/>
    <n v="500"/>
    <x v="3"/>
    <x v="6"/>
    <x v="3"/>
    <x v="0"/>
  </r>
  <r>
    <n v="356"/>
    <d v="2023-06-10T00:00:00"/>
    <s v="CUST356"/>
    <x v="0"/>
    <n v="50"/>
    <x v="2"/>
    <n v="3"/>
    <n v="500"/>
    <x v="9"/>
    <x v="10"/>
    <x v="1"/>
    <x v="2"/>
  </r>
  <r>
    <n v="357"/>
    <d v="2023-05-03T00:00:00"/>
    <s v="CUST357"/>
    <x v="1"/>
    <n v="40"/>
    <x v="2"/>
    <n v="3"/>
    <n v="25"/>
    <x v="8"/>
    <x v="3"/>
    <x v="2"/>
    <x v="2"/>
  </r>
  <r>
    <n v="358"/>
    <d v="2023-05-16T00:00:00"/>
    <s v="CUST358"/>
    <x v="1"/>
    <n v="32"/>
    <x v="0"/>
    <n v="1"/>
    <n v="300"/>
    <x v="13"/>
    <x v="3"/>
    <x v="0"/>
    <x v="2"/>
  </r>
  <r>
    <n v="359"/>
    <d v="2023-07-22T00:00:00"/>
    <s v="CUST359"/>
    <x v="0"/>
    <n v="50"/>
    <x v="1"/>
    <n v="1"/>
    <n v="50"/>
    <x v="5"/>
    <x v="11"/>
    <x v="1"/>
    <x v="3"/>
  </r>
  <r>
    <n v="360"/>
    <d v="2023-03-09T00:00:00"/>
    <s v="CUST360"/>
    <x v="0"/>
    <n v="42"/>
    <x v="1"/>
    <n v="4"/>
    <n v="25"/>
    <x v="4"/>
    <x v="5"/>
    <x v="2"/>
    <x v="1"/>
  </r>
  <r>
    <n v="361"/>
    <d v="2023-12-10T00:00:00"/>
    <s v="CUST361"/>
    <x v="1"/>
    <n v="34"/>
    <x v="2"/>
    <n v="4"/>
    <n v="300"/>
    <x v="14"/>
    <x v="6"/>
    <x v="0"/>
    <x v="0"/>
  </r>
  <r>
    <n v="362"/>
    <d v="2023-11-27T00:00:00"/>
    <s v="CUST362"/>
    <x v="0"/>
    <n v="50"/>
    <x v="1"/>
    <n v="1"/>
    <n v="25"/>
    <x v="16"/>
    <x v="0"/>
    <x v="1"/>
    <x v="0"/>
  </r>
  <r>
    <n v="363"/>
    <d v="2023-06-03T00:00:00"/>
    <s v="CUST363"/>
    <x v="0"/>
    <n v="64"/>
    <x v="0"/>
    <n v="1"/>
    <n v="25"/>
    <x v="16"/>
    <x v="10"/>
    <x v="3"/>
    <x v="2"/>
  </r>
  <r>
    <n v="364"/>
    <d v="2023-08-23T00:00:00"/>
    <s v="CUST364"/>
    <x v="1"/>
    <n v="19"/>
    <x v="0"/>
    <n v="1"/>
    <n v="500"/>
    <x v="3"/>
    <x v="8"/>
    <x v="4"/>
    <x v="3"/>
  </r>
  <r>
    <n v="365"/>
    <d v="2023-06-11T00:00:00"/>
    <s v="CUST365"/>
    <x v="0"/>
    <n v="31"/>
    <x v="1"/>
    <n v="1"/>
    <n v="300"/>
    <x v="13"/>
    <x v="10"/>
    <x v="0"/>
    <x v="2"/>
  </r>
  <r>
    <n v="366"/>
    <d v="2023-02-07T00:00:00"/>
    <s v="CUST366"/>
    <x v="0"/>
    <n v="57"/>
    <x v="1"/>
    <n v="2"/>
    <n v="50"/>
    <x v="4"/>
    <x v="1"/>
    <x v="3"/>
    <x v="1"/>
  </r>
  <r>
    <n v="367"/>
    <d v="2023-01-05T00:00:00"/>
    <s v="CUST367"/>
    <x v="1"/>
    <n v="57"/>
    <x v="2"/>
    <n v="1"/>
    <n v="50"/>
    <x v="5"/>
    <x v="2"/>
    <x v="3"/>
    <x v="1"/>
  </r>
  <r>
    <n v="368"/>
    <d v="2023-08-23T00:00:00"/>
    <s v="CUST368"/>
    <x v="1"/>
    <n v="56"/>
    <x v="1"/>
    <n v="4"/>
    <n v="300"/>
    <x v="14"/>
    <x v="8"/>
    <x v="3"/>
    <x v="3"/>
  </r>
  <r>
    <n v="369"/>
    <d v="2023-11-15T00:00:00"/>
    <s v="CUST369"/>
    <x v="0"/>
    <n v="23"/>
    <x v="2"/>
    <n v="3"/>
    <n v="500"/>
    <x v="9"/>
    <x v="0"/>
    <x v="4"/>
    <x v="0"/>
  </r>
  <r>
    <n v="370"/>
    <d v="2023-10-16T00:00:00"/>
    <s v="CUST370"/>
    <x v="0"/>
    <n v="23"/>
    <x v="2"/>
    <n v="2"/>
    <n v="30"/>
    <x v="17"/>
    <x v="7"/>
    <x v="4"/>
    <x v="0"/>
  </r>
  <r>
    <n v="371"/>
    <d v="2023-02-21T00:00:00"/>
    <s v="CUST371"/>
    <x v="1"/>
    <n v="20"/>
    <x v="0"/>
    <n v="1"/>
    <n v="25"/>
    <x v="16"/>
    <x v="1"/>
    <x v="4"/>
    <x v="1"/>
  </r>
  <r>
    <n v="372"/>
    <d v="2023-02-07T00:00:00"/>
    <s v="CUST372"/>
    <x v="1"/>
    <n v="24"/>
    <x v="0"/>
    <n v="3"/>
    <n v="500"/>
    <x v="9"/>
    <x v="1"/>
    <x v="4"/>
    <x v="1"/>
  </r>
  <r>
    <n v="373"/>
    <d v="2023-10-03T00:00:00"/>
    <s v="CUST373"/>
    <x v="1"/>
    <n v="25"/>
    <x v="0"/>
    <n v="2"/>
    <n v="300"/>
    <x v="6"/>
    <x v="7"/>
    <x v="0"/>
    <x v="0"/>
  </r>
  <r>
    <n v="374"/>
    <d v="2023-04-20T00:00:00"/>
    <s v="CUST374"/>
    <x v="1"/>
    <n v="59"/>
    <x v="0"/>
    <n v="3"/>
    <n v="25"/>
    <x v="8"/>
    <x v="4"/>
    <x v="3"/>
    <x v="2"/>
  </r>
  <r>
    <n v="375"/>
    <d v="2023-09-17T00:00:00"/>
    <s v="CUST375"/>
    <x v="0"/>
    <n v="32"/>
    <x v="1"/>
    <n v="1"/>
    <n v="50"/>
    <x v="5"/>
    <x v="9"/>
    <x v="0"/>
    <x v="3"/>
  </r>
  <r>
    <n v="376"/>
    <d v="2023-05-16T00:00:00"/>
    <s v="CUST376"/>
    <x v="1"/>
    <n v="64"/>
    <x v="0"/>
    <n v="1"/>
    <n v="30"/>
    <x v="2"/>
    <x v="3"/>
    <x v="3"/>
    <x v="2"/>
  </r>
  <r>
    <n v="377"/>
    <d v="2023-03-09T00:00:00"/>
    <s v="CUST377"/>
    <x v="1"/>
    <n v="46"/>
    <x v="1"/>
    <n v="4"/>
    <n v="50"/>
    <x v="7"/>
    <x v="5"/>
    <x v="1"/>
    <x v="1"/>
  </r>
  <r>
    <n v="378"/>
    <d v="2023-06-28T00:00:00"/>
    <s v="CUST378"/>
    <x v="0"/>
    <n v="50"/>
    <x v="0"/>
    <n v="1"/>
    <n v="300"/>
    <x v="13"/>
    <x v="10"/>
    <x v="1"/>
    <x v="2"/>
  </r>
  <r>
    <n v="379"/>
    <d v="2023-02-05T00:00:00"/>
    <s v="CUST379"/>
    <x v="1"/>
    <n v="47"/>
    <x v="1"/>
    <n v="1"/>
    <n v="25"/>
    <x v="16"/>
    <x v="1"/>
    <x v="1"/>
    <x v="1"/>
  </r>
  <r>
    <n v="380"/>
    <d v="2023-05-06T00:00:00"/>
    <s v="CUST380"/>
    <x v="0"/>
    <n v="56"/>
    <x v="2"/>
    <n v="2"/>
    <n v="300"/>
    <x v="6"/>
    <x v="3"/>
    <x v="3"/>
    <x v="2"/>
  </r>
  <r>
    <n v="381"/>
    <d v="2023-07-09T00:00:00"/>
    <s v="CUST381"/>
    <x v="1"/>
    <n v="44"/>
    <x v="1"/>
    <n v="4"/>
    <n v="25"/>
    <x v="4"/>
    <x v="11"/>
    <x v="2"/>
    <x v="3"/>
  </r>
  <r>
    <n v="382"/>
    <d v="2023-05-26T00:00:00"/>
    <s v="CUST382"/>
    <x v="1"/>
    <n v="53"/>
    <x v="1"/>
    <n v="2"/>
    <n v="500"/>
    <x v="1"/>
    <x v="3"/>
    <x v="1"/>
    <x v="2"/>
  </r>
  <r>
    <n v="383"/>
    <d v="2023-03-22T00:00:00"/>
    <s v="CUST383"/>
    <x v="1"/>
    <n v="46"/>
    <x v="0"/>
    <n v="3"/>
    <n v="30"/>
    <x v="15"/>
    <x v="5"/>
    <x v="1"/>
    <x v="1"/>
  </r>
  <r>
    <n v="384"/>
    <d v="2023-08-13T00:00:00"/>
    <s v="CUST384"/>
    <x v="0"/>
    <n v="55"/>
    <x v="1"/>
    <n v="1"/>
    <n v="500"/>
    <x v="3"/>
    <x v="8"/>
    <x v="3"/>
    <x v="3"/>
  </r>
  <r>
    <n v="385"/>
    <d v="2023-10-06T00:00:00"/>
    <s v="CUST385"/>
    <x v="0"/>
    <n v="50"/>
    <x v="2"/>
    <n v="3"/>
    <n v="500"/>
    <x v="9"/>
    <x v="7"/>
    <x v="1"/>
    <x v="0"/>
  </r>
  <r>
    <n v="386"/>
    <d v="2023-12-27T00:00:00"/>
    <s v="CUST386"/>
    <x v="1"/>
    <n v="54"/>
    <x v="2"/>
    <n v="2"/>
    <n v="300"/>
    <x v="6"/>
    <x v="6"/>
    <x v="1"/>
    <x v="0"/>
  </r>
  <r>
    <n v="387"/>
    <d v="2023-06-04T00:00:00"/>
    <s v="CUST387"/>
    <x v="0"/>
    <n v="44"/>
    <x v="0"/>
    <n v="1"/>
    <n v="30"/>
    <x v="2"/>
    <x v="10"/>
    <x v="2"/>
    <x v="2"/>
  </r>
  <r>
    <n v="388"/>
    <d v="2023-11-10T00:00:00"/>
    <s v="CUST388"/>
    <x v="0"/>
    <n v="50"/>
    <x v="2"/>
    <n v="1"/>
    <n v="25"/>
    <x v="16"/>
    <x v="0"/>
    <x v="1"/>
    <x v="0"/>
  </r>
  <r>
    <n v="389"/>
    <d v="2023-12-01T00:00:00"/>
    <s v="CUST389"/>
    <x v="0"/>
    <n v="21"/>
    <x v="1"/>
    <n v="2"/>
    <n v="25"/>
    <x v="5"/>
    <x v="6"/>
    <x v="4"/>
    <x v="0"/>
  </r>
  <r>
    <n v="390"/>
    <d v="2023-09-28T00:00:00"/>
    <s v="CUST390"/>
    <x v="0"/>
    <n v="39"/>
    <x v="2"/>
    <n v="2"/>
    <n v="50"/>
    <x v="4"/>
    <x v="9"/>
    <x v="2"/>
    <x v="3"/>
  </r>
  <r>
    <n v="391"/>
    <d v="2023-01-05T00:00:00"/>
    <s v="CUST391"/>
    <x v="0"/>
    <n v="19"/>
    <x v="0"/>
    <n v="2"/>
    <n v="25"/>
    <x v="5"/>
    <x v="2"/>
    <x v="4"/>
    <x v="1"/>
  </r>
  <r>
    <n v="392"/>
    <d v="2023-12-08T00:00:00"/>
    <s v="CUST392"/>
    <x v="0"/>
    <n v="27"/>
    <x v="1"/>
    <n v="2"/>
    <n v="300"/>
    <x v="6"/>
    <x v="6"/>
    <x v="0"/>
    <x v="0"/>
  </r>
  <r>
    <n v="393"/>
    <d v="2023-10-11T00:00:00"/>
    <s v="CUST393"/>
    <x v="1"/>
    <n v="22"/>
    <x v="0"/>
    <n v="2"/>
    <n v="500"/>
    <x v="1"/>
    <x v="7"/>
    <x v="4"/>
    <x v="0"/>
  </r>
  <r>
    <n v="394"/>
    <d v="2023-06-03T00:00:00"/>
    <s v="CUST394"/>
    <x v="1"/>
    <n v="27"/>
    <x v="1"/>
    <n v="1"/>
    <n v="500"/>
    <x v="3"/>
    <x v="10"/>
    <x v="0"/>
    <x v="2"/>
  </r>
  <r>
    <n v="395"/>
    <d v="2023-12-06T00:00:00"/>
    <s v="CUST395"/>
    <x v="0"/>
    <n v="50"/>
    <x v="2"/>
    <n v="2"/>
    <n v="500"/>
    <x v="1"/>
    <x v="6"/>
    <x v="1"/>
    <x v="0"/>
  </r>
  <r>
    <n v="396"/>
    <d v="2023-02-23T00:00:00"/>
    <s v="CUST396"/>
    <x v="1"/>
    <n v="55"/>
    <x v="0"/>
    <n v="1"/>
    <n v="30"/>
    <x v="2"/>
    <x v="1"/>
    <x v="3"/>
    <x v="1"/>
  </r>
  <r>
    <n v="397"/>
    <d v="2023-03-10T00:00:00"/>
    <s v="CUST397"/>
    <x v="1"/>
    <n v="30"/>
    <x v="0"/>
    <n v="1"/>
    <n v="25"/>
    <x v="16"/>
    <x v="5"/>
    <x v="0"/>
    <x v="1"/>
  </r>
  <r>
    <n v="398"/>
    <d v="2023-05-16T00:00:00"/>
    <s v="CUST398"/>
    <x v="1"/>
    <n v="48"/>
    <x v="1"/>
    <n v="2"/>
    <n v="300"/>
    <x v="6"/>
    <x v="3"/>
    <x v="1"/>
    <x v="2"/>
  </r>
  <r>
    <n v="399"/>
    <d v="2023-03-01T00:00:00"/>
    <s v="CUST399"/>
    <x v="1"/>
    <n v="64"/>
    <x v="0"/>
    <n v="2"/>
    <n v="30"/>
    <x v="17"/>
    <x v="5"/>
    <x v="3"/>
    <x v="1"/>
  </r>
  <r>
    <n v="400"/>
    <d v="2023-02-24T00:00:00"/>
    <s v="CUST400"/>
    <x v="0"/>
    <n v="53"/>
    <x v="1"/>
    <n v="4"/>
    <n v="50"/>
    <x v="7"/>
    <x v="1"/>
    <x v="1"/>
    <x v="1"/>
  </r>
  <r>
    <n v="401"/>
    <d v="2023-10-11T00:00:00"/>
    <s v="CUST401"/>
    <x v="1"/>
    <n v="62"/>
    <x v="1"/>
    <n v="1"/>
    <n v="300"/>
    <x v="13"/>
    <x v="7"/>
    <x v="3"/>
    <x v="0"/>
  </r>
  <r>
    <n v="402"/>
    <d v="2023-03-21T00:00:00"/>
    <s v="CUST402"/>
    <x v="1"/>
    <n v="41"/>
    <x v="1"/>
    <n v="2"/>
    <n v="300"/>
    <x v="6"/>
    <x v="5"/>
    <x v="2"/>
    <x v="1"/>
  </r>
  <r>
    <n v="403"/>
    <d v="2023-05-20T00:00:00"/>
    <s v="CUST403"/>
    <x v="0"/>
    <n v="32"/>
    <x v="1"/>
    <n v="2"/>
    <n v="300"/>
    <x v="6"/>
    <x v="3"/>
    <x v="0"/>
    <x v="2"/>
  </r>
  <r>
    <n v="404"/>
    <d v="2023-05-25T00:00:00"/>
    <s v="CUST404"/>
    <x v="0"/>
    <n v="46"/>
    <x v="2"/>
    <n v="2"/>
    <n v="500"/>
    <x v="1"/>
    <x v="3"/>
    <x v="1"/>
    <x v="2"/>
  </r>
  <r>
    <n v="405"/>
    <d v="2023-11-06T00:00:00"/>
    <s v="CUST405"/>
    <x v="1"/>
    <n v="25"/>
    <x v="1"/>
    <n v="4"/>
    <n v="300"/>
    <x v="14"/>
    <x v="0"/>
    <x v="0"/>
    <x v="0"/>
  </r>
  <r>
    <n v="406"/>
    <d v="2023-04-18T00:00:00"/>
    <s v="CUST406"/>
    <x v="1"/>
    <n v="22"/>
    <x v="0"/>
    <n v="4"/>
    <n v="25"/>
    <x v="4"/>
    <x v="4"/>
    <x v="4"/>
    <x v="2"/>
  </r>
  <r>
    <n v="407"/>
    <d v="2023-06-25T00:00:00"/>
    <s v="CUST407"/>
    <x v="1"/>
    <n v="46"/>
    <x v="2"/>
    <n v="3"/>
    <n v="300"/>
    <x v="12"/>
    <x v="10"/>
    <x v="1"/>
    <x v="2"/>
  </r>
  <r>
    <n v="408"/>
    <d v="2023-04-15T00:00:00"/>
    <s v="CUST408"/>
    <x v="1"/>
    <n v="64"/>
    <x v="0"/>
    <n v="1"/>
    <n v="500"/>
    <x v="3"/>
    <x v="4"/>
    <x v="3"/>
    <x v="2"/>
  </r>
  <r>
    <n v="409"/>
    <d v="2023-12-18T00:00:00"/>
    <s v="CUST409"/>
    <x v="1"/>
    <n v="21"/>
    <x v="2"/>
    <n v="3"/>
    <n v="300"/>
    <x v="12"/>
    <x v="6"/>
    <x v="4"/>
    <x v="0"/>
  </r>
  <r>
    <n v="410"/>
    <d v="2023-11-21T00:00:00"/>
    <s v="CUST410"/>
    <x v="1"/>
    <n v="29"/>
    <x v="1"/>
    <n v="2"/>
    <n v="50"/>
    <x v="4"/>
    <x v="0"/>
    <x v="0"/>
    <x v="0"/>
  </r>
  <r>
    <n v="411"/>
    <d v="2023-05-16T00:00:00"/>
    <s v="CUST411"/>
    <x v="0"/>
    <n v="62"/>
    <x v="2"/>
    <n v="4"/>
    <n v="50"/>
    <x v="7"/>
    <x v="3"/>
    <x v="3"/>
    <x v="2"/>
  </r>
  <r>
    <n v="412"/>
    <d v="2023-09-16T00:00:00"/>
    <s v="CUST412"/>
    <x v="1"/>
    <n v="19"/>
    <x v="2"/>
    <n v="4"/>
    <n v="500"/>
    <x v="11"/>
    <x v="9"/>
    <x v="4"/>
    <x v="3"/>
  </r>
  <r>
    <n v="413"/>
    <d v="2023-09-08T00:00:00"/>
    <s v="CUST413"/>
    <x v="1"/>
    <n v="44"/>
    <x v="0"/>
    <n v="3"/>
    <n v="25"/>
    <x v="8"/>
    <x v="9"/>
    <x v="2"/>
    <x v="3"/>
  </r>
  <r>
    <n v="414"/>
    <d v="2023-05-09T00:00:00"/>
    <s v="CUST414"/>
    <x v="0"/>
    <n v="48"/>
    <x v="0"/>
    <n v="4"/>
    <n v="25"/>
    <x v="4"/>
    <x v="3"/>
    <x v="1"/>
    <x v="2"/>
  </r>
  <r>
    <n v="415"/>
    <d v="2023-01-27T00:00:00"/>
    <s v="CUST415"/>
    <x v="0"/>
    <n v="53"/>
    <x v="1"/>
    <n v="2"/>
    <n v="30"/>
    <x v="17"/>
    <x v="2"/>
    <x v="1"/>
    <x v="1"/>
  </r>
  <r>
    <n v="416"/>
    <d v="2023-02-17T00:00:00"/>
    <s v="CUST416"/>
    <x v="0"/>
    <n v="53"/>
    <x v="2"/>
    <n v="4"/>
    <n v="500"/>
    <x v="11"/>
    <x v="1"/>
    <x v="1"/>
    <x v="1"/>
  </r>
  <r>
    <n v="417"/>
    <d v="2023-11-21T00:00:00"/>
    <s v="CUST417"/>
    <x v="0"/>
    <n v="43"/>
    <x v="2"/>
    <n v="3"/>
    <n v="300"/>
    <x v="12"/>
    <x v="0"/>
    <x v="2"/>
    <x v="0"/>
  </r>
  <r>
    <n v="418"/>
    <d v="2023-08-05T00:00:00"/>
    <s v="CUST418"/>
    <x v="1"/>
    <n v="60"/>
    <x v="2"/>
    <n v="2"/>
    <n v="500"/>
    <x v="1"/>
    <x v="8"/>
    <x v="3"/>
    <x v="3"/>
  </r>
  <r>
    <n v="419"/>
    <d v="2023-05-22T00:00:00"/>
    <s v="CUST419"/>
    <x v="1"/>
    <n v="44"/>
    <x v="1"/>
    <n v="3"/>
    <n v="30"/>
    <x v="15"/>
    <x v="3"/>
    <x v="2"/>
    <x v="2"/>
  </r>
  <r>
    <n v="420"/>
    <d v="2023-01-23T00:00:00"/>
    <s v="CUST420"/>
    <x v="1"/>
    <n v="22"/>
    <x v="1"/>
    <n v="4"/>
    <n v="500"/>
    <x v="11"/>
    <x v="2"/>
    <x v="4"/>
    <x v="1"/>
  </r>
  <r>
    <n v="421"/>
    <d v="2023-01-02T00:00:00"/>
    <s v="CUST421"/>
    <x v="1"/>
    <n v="37"/>
    <x v="1"/>
    <n v="3"/>
    <n v="500"/>
    <x v="9"/>
    <x v="2"/>
    <x v="2"/>
    <x v="1"/>
  </r>
  <r>
    <n v="422"/>
    <d v="2023-06-20T00:00:00"/>
    <s v="CUST422"/>
    <x v="1"/>
    <n v="28"/>
    <x v="1"/>
    <n v="3"/>
    <n v="30"/>
    <x v="15"/>
    <x v="10"/>
    <x v="0"/>
    <x v="2"/>
  </r>
  <r>
    <n v="423"/>
    <d v="2023-03-08T00:00:00"/>
    <s v="CUST423"/>
    <x v="1"/>
    <n v="27"/>
    <x v="1"/>
    <n v="1"/>
    <n v="25"/>
    <x v="16"/>
    <x v="5"/>
    <x v="0"/>
    <x v="1"/>
  </r>
  <r>
    <n v="424"/>
    <d v="2023-11-23T00:00:00"/>
    <s v="CUST424"/>
    <x v="0"/>
    <n v="57"/>
    <x v="0"/>
    <n v="4"/>
    <n v="300"/>
    <x v="14"/>
    <x v="0"/>
    <x v="3"/>
    <x v="0"/>
  </r>
  <r>
    <n v="425"/>
    <d v="2023-05-15T00:00:00"/>
    <s v="CUST425"/>
    <x v="1"/>
    <n v="55"/>
    <x v="2"/>
    <n v="4"/>
    <n v="30"/>
    <x v="10"/>
    <x v="3"/>
    <x v="3"/>
    <x v="2"/>
  </r>
  <r>
    <n v="426"/>
    <d v="2023-03-24T00:00:00"/>
    <s v="CUST426"/>
    <x v="0"/>
    <n v="23"/>
    <x v="2"/>
    <n v="3"/>
    <n v="50"/>
    <x v="0"/>
    <x v="5"/>
    <x v="4"/>
    <x v="1"/>
  </r>
  <r>
    <n v="427"/>
    <d v="2023-08-15T00:00:00"/>
    <s v="CUST427"/>
    <x v="0"/>
    <n v="25"/>
    <x v="2"/>
    <n v="1"/>
    <n v="25"/>
    <x v="16"/>
    <x v="8"/>
    <x v="0"/>
    <x v="3"/>
  </r>
  <r>
    <n v="428"/>
    <d v="2023-10-10T00:00:00"/>
    <s v="CUST428"/>
    <x v="1"/>
    <n v="40"/>
    <x v="2"/>
    <n v="4"/>
    <n v="50"/>
    <x v="7"/>
    <x v="7"/>
    <x v="2"/>
    <x v="0"/>
  </r>
  <r>
    <n v="429"/>
    <d v="2023-12-28T00:00:00"/>
    <s v="CUST429"/>
    <x v="0"/>
    <n v="64"/>
    <x v="2"/>
    <n v="2"/>
    <n v="25"/>
    <x v="5"/>
    <x v="6"/>
    <x v="3"/>
    <x v="0"/>
  </r>
  <r>
    <n v="430"/>
    <d v="2023-08-07T00:00:00"/>
    <s v="CUST430"/>
    <x v="1"/>
    <n v="43"/>
    <x v="2"/>
    <n v="3"/>
    <n v="300"/>
    <x v="12"/>
    <x v="8"/>
    <x v="2"/>
    <x v="3"/>
  </r>
  <r>
    <n v="431"/>
    <d v="2023-10-15T00:00:00"/>
    <s v="CUST431"/>
    <x v="0"/>
    <n v="63"/>
    <x v="2"/>
    <n v="4"/>
    <n v="300"/>
    <x v="14"/>
    <x v="7"/>
    <x v="3"/>
    <x v="0"/>
  </r>
  <r>
    <n v="432"/>
    <d v="2023-01-05T00:00:00"/>
    <s v="CUST432"/>
    <x v="1"/>
    <n v="60"/>
    <x v="2"/>
    <n v="2"/>
    <n v="500"/>
    <x v="1"/>
    <x v="2"/>
    <x v="3"/>
    <x v="1"/>
  </r>
  <r>
    <n v="433"/>
    <d v="2023-02-27T00:00:00"/>
    <s v="CUST433"/>
    <x v="0"/>
    <n v="29"/>
    <x v="0"/>
    <n v="4"/>
    <n v="50"/>
    <x v="7"/>
    <x v="1"/>
    <x v="0"/>
    <x v="1"/>
  </r>
  <r>
    <n v="434"/>
    <d v="2023-02-08T00:00:00"/>
    <s v="CUST434"/>
    <x v="1"/>
    <n v="43"/>
    <x v="2"/>
    <n v="2"/>
    <n v="25"/>
    <x v="5"/>
    <x v="1"/>
    <x v="2"/>
    <x v="1"/>
  </r>
  <r>
    <n v="435"/>
    <d v="2023-12-20T00:00:00"/>
    <s v="CUST435"/>
    <x v="1"/>
    <n v="30"/>
    <x v="0"/>
    <n v="3"/>
    <n v="300"/>
    <x v="12"/>
    <x v="6"/>
    <x v="0"/>
    <x v="0"/>
  </r>
  <r>
    <n v="436"/>
    <d v="2023-03-18T00:00:00"/>
    <s v="CUST436"/>
    <x v="1"/>
    <n v="57"/>
    <x v="1"/>
    <n v="4"/>
    <n v="30"/>
    <x v="10"/>
    <x v="5"/>
    <x v="3"/>
    <x v="1"/>
  </r>
  <r>
    <n v="437"/>
    <d v="2023-10-07T00:00:00"/>
    <s v="CUST437"/>
    <x v="1"/>
    <n v="35"/>
    <x v="2"/>
    <n v="4"/>
    <n v="300"/>
    <x v="14"/>
    <x v="7"/>
    <x v="2"/>
    <x v="0"/>
  </r>
  <r>
    <n v="438"/>
    <d v="2023-01-19T00:00:00"/>
    <s v="CUST438"/>
    <x v="1"/>
    <n v="42"/>
    <x v="1"/>
    <n v="1"/>
    <n v="30"/>
    <x v="2"/>
    <x v="2"/>
    <x v="2"/>
    <x v="1"/>
  </r>
  <r>
    <n v="439"/>
    <d v="2023-07-09T00:00:00"/>
    <s v="CUST439"/>
    <x v="0"/>
    <n v="50"/>
    <x v="1"/>
    <n v="3"/>
    <n v="25"/>
    <x v="8"/>
    <x v="11"/>
    <x v="1"/>
    <x v="3"/>
  </r>
  <r>
    <n v="440"/>
    <d v="2023-10-26T00:00:00"/>
    <s v="CUST440"/>
    <x v="0"/>
    <n v="64"/>
    <x v="1"/>
    <n v="2"/>
    <n v="300"/>
    <x v="6"/>
    <x v="7"/>
    <x v="3"/>
    <x v="0"/>
  </r>
  <r>
    <n v="441"/>
    <d v="2023-10-10T00:00:00"/>
    <s v="CUST441"/>
    <x v="0"/>
    <n v="57"/>
    <x v="0"/>
    <n v="4"/>
    <n v="300"/>
    <x v="14"/>
    <x v="7"/>
    <x v="3"/>
    <x v="0"/>
  </r>
  <r>
    <n v="442"/>
    <d v="2023-03-17T00:00:00"/>
    <s v="CUST442"/>
    <x v="1"/>
    <n v="60"/>
    <x v="1"/>
    <n v="4"/>
    <n v="25"/>
    <x v="4"/>
    <x v="5"/>
    <x v="3"/>
    <x v="1"/>
  </r>
  <r>
    <n v="443"/>
    <d v="2023-08-09T00:00:00"/>
    <s v="CUST443"/>
    <x v="0"/>
    <n v="29"/>
    <x v="1"/>
    <n v="2"/>
    <n v="300"/>
    <x v="6"/>
    <x v="8"/>
    <x v="0"/>
    <x v="3"/>
  </r>
  <r>
    <n v="444"/>
    <d v="2023-03-07T00:00:00"/>
    <s v="CUST444"/>
    <x v="1"/>
    <n v="61"/>
    <x v="1"/>
    <n v="3"/>
    <n v="30"/>
    <x v="15"/>
    <x v="5"/>
    <x v="3"/>
    <x v="1"/>
  </r>
  <r>
    <n v="445"/>
    <d v="2023-01-22T00:00:00"/>
    <s v="CUST445"/>
    <x v="1"/>
    <n v="53"/>
    <x v="2"/>
    <n v="1"/>
    <n v="300"/>
    <x v="13"/>
    <x v="2"/>
    <x v="1"/>
    <x v="1"/>
  </r>
  <r>
    <n v="446"/>
    <d v="2023-06-07T00:00:00"/>
    <s v="CUST446"/>
    <x v="0"/>
    <n v="21"/>
    <x v="2"/>
    <n v="1"/>
    <n v="50"/>
    <x v="5"/>
    <x v="10"/>
    <x v="4"/>
    <x v="2"/>
  </r>
  <r>
    <n v="447"/>
    <d v="2023-07-06T00:00:00"/>
    <s v="CUST447"/>
    <x v="0"/>
    <n v="22"/>
    <x v="0"/>
    <n v="4"/>
    <n v="500"/>
    <x v="11"/>
    <x v="11"/>
    <x v="4"/>
    <x v="3"/>
  </r>
  <r>
    <n v="448"/>
    <d v="2023-01-21T00:00:00"/>
    <s v="CUST448"/>
    <x v="1"/>
    <n v="54"/>
    <x v="0"/>
    <n v="2"/>
    <n v="30"/>
    <x v="17"/>
    <x v="2"/>
    <x v="1"/>
    <x v="1"/>
  </r>
  <r>
    <n v="449"/>
    <d v="2023-07-03T00:00:00"/>
    <s v="CUST449"/>
    <x v="0"/>
    <n v="25"/>
    <x v="2"/>
    <n v="4"/>
    <n v="50"/>
    <x v="7"/>
    <x v="11"/>
    <x v="0"/>
    <x v="3"/>
  </r>
  <r>
    <n v="450"/>
    <d v="2023-04-18T00:00:00"/>
    <s v="CUST450"/>
    <x v="1"/>
    <n v="59"/>
    <x v="0"/>
    <n v="2"/>
    <n v="25"/>
    <x v="5"/>
    <x v="4"/>
    <x v="3"/>
    <x v="2"/>
  </r>
  <r>
    <n v="451"/>
    <d v="2023-12-16T00:00:00"/>
    <s v="CUST451"/>
    <x v="1"/>
    <n v="45"/>
    <x v="2"/>
    <n v="1"/>
    <n v="30"/>
    <x v="2"/>
    <x v="6"/>
    <x v="1"/>
    <x v="0"/>
  </r>
  <r>
    <n v="452"/>
    <d v="2023-05-08T00:00:00"/>
    <s v="CUST452"/>
    <x v="1"/>
    <n v="48"/>
    <x v="1"/>
    <n v="3"/>
    <n v="500"/>
    <x v="9"/>
    <x v="3"/>
    <x v="1"/>
    <x v="2"/>
  </r>
  <r>
    <n v="453"/>
    <d v="2023-12-08T00:00:00"/>
    <s v="CUST453"/>
    <x v="1"/>
    <n v="26"/>
    <x v="1"/>
    <n v="2"/>
    <n v="500"/>
    <x v="1"/>
    <x v="6"/>
    <x v="0"/>
    <x v="0"/>
  </r>
  <r>
    <n v="454"/>
    <d v="2023-02-22T00:00:00"/>
    <s v="CUST454"/>
    <x v="1"/>
    <n v="46"/>
    <x v="0"/>
    <n v="1"/>
    <n v="25"/>
    <x v="16"/>
    <x v="1"/>
    <x v="1"/>
    <x v="1"/>
  </r>
  <r>
    <n v="455"/>
    <d v="2023-07-01T00:00:00"/>
    <s v="CUST455"/>
    <x v="0"/>
    <n v="31"/>
    <x v="2"/>
    <n v="4"/>
    <n v="25"/>
    <x v="4"/>
    <x v="11"/>
    <x v="0"/>
    <x v="3"/>
  </r>
  <r>
    <n v="456"/>
    <d v="2023-10-14T00:00:00"/>
    <s v="CUST456"/>
    <x v="0"/>
    <n v="57"/>
    <x v="2"/>
    <n v="2"/>
    <n v="30"/>
    <x v="17"/>
    <x v="7"/>
    <x v="3"/>
    <x v="0"/>
  </r>
  <r>
    <n v="457"/>
    <d v="2023-07-28T00:00:00"/>
    <s v="CUST457"/>
    <x v="1"/>
    <n v="58"/>
    <x v="0"/>
    <n v="3"/>
    <n v="300"/>
    <x v="12"/>
    <x v="11"/>
    <x v="3"/>
    <x v="3"/>
  </r>
  <r>
    <n v="458"/>
    <d v="2023-11-14T00:00:00"/>
    <s v="CUST458"/>
    <x v="1"/>
    <n v="39"/>
    <x v="2"/>
    <n v="4"/>
    <n v="25"/>
    <x v="4"/>
    <x v="0"/>
    <x v="2"/>
    <x v="0"/>
  </r>
  <r>
    <n v="459"/>
    <d v="2023-03-21T00:00:00"/>
    <s v="CUST459"/>
    <x v="0"/>
    <n v="28"/>
    <x v="1"/>
    <n v="4"/>
    <n v="300"/>
    <x v="14"/>
    <x v="5"/>
    <x v="0"/>
    <x v="1"/>
  </r>
  <r>
    <n v="460"/>
    <d v="2023-05-02T00:00:00"/>
    <s v="CUST460"/>
    <x v="0"/>
    <n v="40"/>
    <x v="0"/>
    <n v="1"/>
    <n v="50"/>
    <x v="5"/>
    <x v="3"/>
    <x v="2"/>
    <x v="2"/>
  </r>
  <r>
    <n v="461"/>
    <d v="2023-03-25T00:00:00"/>
    <s v="CUST461"/>
    <x v="1"/>
    <n v="18"/>
    <x v="0"/>
    <n v="2"/>
    <n v="500"/>
    <x v="1"/>
    <x v="5"/>
    <x v="4"/>
    <x v="1"/>
  </r>
  <r>
    <n v="462"/>
    <d v="2023-04-01T00:00:00"/>
    <s v="CUST462"/>
    <x v="0"/>
    <n v="63"/>
    <x v="2"/>
    <n v="4"/>
    <n v="300"/>
    <x v="14"/>
    <x v="4"/>
    <x v="3"/>
    <x v="2"/>
  </r>
  <r>
    <n v="463"/>
    <d v="2023-07-31T00:00:00"/>
    <s v="CUST463"/>
    <x v="1"/>
    <n v="54"/>
    <x v="0"/>
    <n v="3"/>
    <n v="500"/>
    <x v="9"/>
    <x v="11"/>
    <x v="1"/>
    <x v="3"/>
  </r>
  <r>
    <n v="464"/>
    <d v="2023-01-13T00:00:00"/>
    <s v="CUST464"/>
    <x v="0"/>
    <n v="38"/>
    <x v="2"/>
    <n v="2"/>
    <n v="300"/>
    <x v="6"/>
    <x v="2"/>
    <x v="2"/>
    <x v="1"/>
  </r>
  <r>
    <n v="465"/>
    <d v="2023-04-02T00:00:00"/>
    <s v="CUST465"/>
    <x v="1"/>
    <n v="43"/>
    <x v="2"/>
    <n v="3"/>
    <n v="50"/>
    <x v="0"/>
    <x v="4"/>
    <x v="2"/>
    <x v="2"/>
  </r>
  <r>
    <n v="466"/>
    <d v="2023-06-20T00:00:00"/>
    <s v="CUST466"/>
    <x v="0"/>
    <n v="63"/>
    <x v="2"/>
    <n v="4"/>
    <n v="25"/>
    <x v="4"/>
    <x v="10"/>
    <x v="3"/>
    <x v="2"/>
  </r>
  <r>
    <n v="467"/>
    <d v="2023-07-30T00:00:00"/>
    <s v="CUST467"/>
    <x v="1"/>
    <n v="53"/>
    <x v="2"/>
    <n v="3"/>
    <n v="50"/>
    <x v="0"/>
    <x v="11"/>
    <x v="1"/>
    <x v="3"/>
  </r>
  <r>
    <n v="468"/>
    <d v="2023-12-09T00:00:00"/>
    <s v="CUST468"/>
    <x v="0"/>
    <n v="40"/>
    <x v="2"/>
    <n v="1"/>
    <n v="25"/>
    <x v="16"/>
    <x v="6"/>
    <x v="2"/>
    <x v="0"/>
  </r>
  <r>
    <n v="469"/>
    <d v="2023-05-08T00:00:00"/>
    <s v="CUST469"/>
    <x v="0"/>
    <n v="18"/>
    <x v="0"/>
    <n v="3"/>
    <n v="25"/>
    <x v="8"/>
    <x v="3"/>
    <x v="4"/>
    <x v="2"/>
  </r>
  <r>
    <n v="470"/>
    <d v="2023-05-17T00:00:00"/>
    <s v="CUST470"/>
    <x v="1"/>
    <n v="57"/>
    <x v="1"/>
    <n v="2"/>
    <n v="500"/>
    <x v="1"/>
    <x v="3"/>
    <x v="3"/>
    <x v="2"/>
  </r>
  <r>
    <n v="471"/>
    <d v="2023-03-23T00:00:00"/>
    <s v="CUST471"/>
    <x v="0"/>
    <n v="32"/>
    <x v="1"/>
    <n v="3"/>
    <n v="50"/>
    <x v="0"/>
    <x v="5"/>
    <x v="0"/>
    <x v="1"/>
  </r>
  <r>
    <n v="472"/>
    <d v="2023-12-26T00:00:00"/>
    <s v="CUST472"/>
    <x v="1"/>
    <n v="38"/>
    <x v="0"/>
    <n v="3"/>
    <n v="300"/>
    <x v="12"/>
    <x v="6"/>
    <x v="2"/>
    <x v="0"/>
  </r>
  <r>
    <n v="473"/>
    <d v="2023-02-25T00:00:00"/>
    <s v="CUST473"/>
    <x v="0"/>
    <n v="64"/>
    <x v="0"/>
    <n v="1"/>
    <n v="50"/>
    <x v="5"/>
    <x v="1"/>
    <x v="3"/>
    <x v="1"/>
  </r>
  <r>
    <n v="474"/>
    <d v="2023-07-15T00:00:00"/>
    <s v="CUST474"/>
    <x v="1"/>
    <n v="26"/>
    <x v="1"/>
    <n v="3"/>
    <n v="500"/>
    <x v="9"/>
    <x v="11"/>
    <x v="0"/>
    <x v="3"/>
  </r>
  <r>
    <n v="475"/>
    <d v="2023-01-20T00:00:00"/>
    <s v="CUST475"/>
    <x v="0"/>
    <n v="26"/>
    <x v="1"/>
    <n v="3"/>
    <n v="25"/>
    <x v="8"/>
    <x v="2"/>
    <x v="0"/>
    <x v="1"/>
  </r>
  <r>
    <n v="476"/>
    <d v="2023-08-29T00:00:00"/>
    <s v="CUST476"/>
    <x v="1"/>
    <n v="27"/>
    <x v="1"/>
    <n v="4"/>
    <n v="500"/>
    <x v="11"/>
    <x v="8"/>
    <x v="0"/>
    <x v="3"/>
  </r>
  <r>
    <n v="477"/>
    <d v="2023-04-24T00:00:00"/>
    <s v="CUST477"/>
    <x v="0"/>
    <n v="43"/>
    <x v="1"/>
    <n v="4"/>
    <n v="30"/>
    <x v="10"/>
    <x v="4"/>
    <x v="2"/>
    <x v="2"/>
  </r>
  <r>
    <n v="478"/>
    <d v="2023-04-13T00:00:00"/>
    <s v="CUST478"/>
    <x v="1"/>
    <n v="58"/>
    <x v="1"/>
    <n v="2"/>
    <n v="30"/>
    <x v="17"/>
    <x v="4"/>
    <x v="3"/>
    <x v="2"/>
  </r>
  <r>
    <n v="479"/>
    <d v="2023-08-24T00:00:00"/>
    <s v="CUST479"/>
    <x v="0"/>
    <n v="52"/>
    <x v="2"/>
    <n v="4"/>
    <n v="300"/>
    <x v="14"/>
    <x v="8"/>
    <x v="1"/>
    <x v="3"/>
  </r>
  <r>
    <n v="480"/>
    <d v="2023-06-29T00:00:00"/>
    <s v="CUST480"/>
    <x v="1"/>
    <n v="42"/>
    <x v="0"/>
    <n v="4"/>
    <n v="500"/>
    <x v="11"/>
    <x v="10"/>
    <x v="2"/>
    <x v="2"/>
  </r>
  <r>
    <n v="481"/>
    <d v="2023-06-06T00:00:00"/>
    <s v="CUST481"/>
    <x v="1"/>
    <n v="43"/>
    <x v="2"/>
    <n v="4"/>
    <n v="300"/>
    <x v="14"/>
    <x v="10"/>
    <x v="2"/>
    <x v="2"/>
  </r>
  <r>
    <n v="482"/>
    <d v="2023-04-27T00:00:00"/>
    <s v="CUST482"/>
    <x v="1"/>
    <n v="28"/>
    <x v="1"/>
    <n v="4"/>
    <n v="300"/>
    <x v="14"/>
    <x v="4"/>
    <x v="0"/>
    <x v="2"/>
  </r>
  <r>
    <n v="483"/>
    <d v="2023-04-25T00:00:00"/>
    <s v="CUST483"/>
    <x v="0"/>
    <n v="55"/>
    <x v="1"/>
    <n v="1"/>
    <n v="30"/>
    <x v="2"/>
    <x v="4"/>
    <x v="3"/>
    <x v="2"/>
  </r>
  <r>
    <n v="484"/>
    <d v="2023-01-13T00:00:00"/>
    <s v="CUST484"/>
    <x v="1"/>
    <n v="19"/>
    <x v="1"/>
    <n v="4"/>
    <n v="300"/>
    <x v="14"/>
    <x v="2"/>
    <x v="4"/>
    <x v="1"/>
  </r>
  <r>
    <n v="485"/>
    <d v="2023-12-04T00:00:00"/>
    <s v="CUST485"/>
    <x v="0"/>
    <n v="24"/>
    <x v="2"/>
    <n v="1"/>
    <n v="30"/>
    <x v="2"/>
    <x v="6"/>
    <x v="4"/>
    <x v="0"/>
  </r>
  <r>
    <n v="486"/>
    <d v="2023-04-09T00:00:00"/>
    <s v="CUST486"/>
    <x v="1"/>
    <n v="35"/>
    <x v="2"/>
    <n v="1"/>
    <n v="25"/>
    <x v="16"/>
    <x v="4"/>
    <x v="2"/>
    <x v="2"/>
  </r>
  <r>
    <n v="487"/>
    <d v="2023-07-24T00:00:00"/>
    <s v="CUST487"/>
    <x v="0"/>
    <n v="44"/>
    <x v="1"/>
    <n v="4"/>
    <n v="500"/>
    <x v="11"/>
    <x v="11"/>
    <x v="2"/>
    <x v="3"/>
  </r>
  <r>
    <n v="488"/>
    <d v="2023-06-18T00:00:00"/>
    <s v="CUST488"/>
    <x v="1"/>
    <n v="51"/>
    <x v="2"/>
    <n v="3"/>
    <n v="300"/>
    <x v="12"/>
    <x v="10"/>
    <x v="1"/>
    <x v="2"/>
  </r>
  <r>
    <n v="489"/>
    <d v="2023-05-23T00:00:00"/>
    <s v="CUST489"/>
    <x v="0"/>
    <n v="44"/>
    <x v="2"/>
    <n v="1"/>
    <n v="30"/>
    <x v="2"/>
    <x v="3"/>
    <x v="2"/>
    <x v="2"/>
  </r>
  <r>
    <n v="490"/>
    <d v="2023-02-05T00:00:00"/>
    <s v="CUST490"/>
    <x v="0"/>
    <n v="34"/>
    <x v="1"/>
    <n v="3"/>
    <n v="50"/>
    <x v="0"/>
    <x v="1"/>
    <x v="0"/>
    <x v="1"/>
  </r>
  <r>
    <n v="491"/>
    <d v="2023-05-23T00:00:00"/>
    <s v="CUST491"/>
    <x v="1"/>
    <n v="60"/>
    <x v="2"/>
    <n v="3"/>
    <n v="300"/>
    <x v="12"/>
    <x v="3"/>
    <x v="3"/>
    <x v="2"/>
  </r>
  <r>
    <n v="492"/>
    <d v="2023-06-29T00:00:00"/>
    <s v="CUST492"/>
    <x v="0"/>
    <n v="61"/>
    <x v="0"/>
    <n v="4"/>
    <n v="25"/>
    <x v="4"/>
    <x v="10"/>
    <x v="3"/>
    <x v="2"/>
  </r>
  <r>
    <n v="493"/>
    <d v="2023-11-25T00:00:00"/>
    <s v="CUST493"/>
    <x v="0"/>
    <n v="41"/>
    <x v="0"/>
    <n v="2"/>
    <n v="25"/>
    <x v="5"/>
    <x v="0"/>
    <x v="2"/>
    <x v="0"/>
  </r>
  <r>
    <n v="494"/>
    <d v="2023-09-18T00:00:00"/>
    <s v="CUST494"/>
    <x v="1"/>
    <n v="42"/>
    <x v="0"/>
    <n v="4"/>
    <n v="50"/>
    <x v="7"/>
    <x v="9"/>
    <x v="2"/>
    <x v="3"/>
  </r>
  <r>
    <n v="495"/>
    <d v="2023-07-24T00:00:00"/>
    <s v="CUST495"/>
    <x v="0"/>
    <n v="24"/>
    <x v="0"/>
    <n v="2"/>
    <n v="30"/>
    <x v="17"/>
    <x v="11"/>
    <x v="4"/>
    <x v="3"/>
  </r>
  <r>
    <n v="496"/>
    <d v="2023-12-14T00:00:00"/>
    <s v="CUST496"/>
    <x v="0"/>
    <n v="23"/>
    <x v="1"/>
    <n v="2"/>
    <n v="300"/>
    <x v="6"/>
    <x v="6"/>
    <x v="4"/>
    <x v="0"/>
  </r>
  <r>
    <n v="497"/>
    <d v="2023-10-02T00:00:00"/>
    <s v="CUST497"/>
    <x v="0"/>
    <n v="41"/>
    <x v="1"/>
    <n v="4"/>
    <n v="30"/>
    <x v="10"/>
    <x v="7"/>
    <x v="2"/>
    <x v="0"/>
  </r>
  <r>
    <n v="498"/>
    <d v="2023-06-19T00:00:00"/>
    <s v="CUST498"/>
    <x v="1"/>
    <n v="50"/>
    <x v="1"/>
    <n v="4"/>
    <n v="25"/>
    <x v="4"/>
    <x v="10"/>
    <x v="1"/>
    <x v="2"/>
  </r>
  <r>
    <n v="499"/>
    <d v="2023-01-15T00:00:00"/>
    <s v="CUST499"/>
    <x v="0"/>
    <n v="46"/>
    <x v="0"/>
    <n v="2"/>
    <n v="30"/>
    <x v="17"/>
    <x v="2"/>
    <x v="1"/>
    <x v="1"/>
  </r>
  <r>
    <n v="500"/>
    <d v="2023-03-01T00:00:00"/>
    <s v="CUST500"/>
    <x v="1"/>
    <n v="60"/>
    <x v="0"/>
    <n v="4"/>
    <n v="25"/>
    <x v="4"/>
    <x v="5"/>
    <x v="3"/>
    <x v="1"/>
  </r>
  <r>
    <n v="501"/>
    <d v="2023-05-14T00:00:00"/>
    <s v="CUST501"/>
    <x v="0"/>
    <n v="39"/>
    <x v="2"/>
    <n v="2"/>
    <n v="30"/>
    <x v="17"/>
    <x v="3"/>
    <x v="2"/>
    <x v="2"/>
  </r>
  <r>
    <n v="502"/>
    <d v="2023-04-02T00:00:00"/>
    <s v="CUST502"/>
    <x v="0"/>
    <n v="43"/>
    <x v="2"/>
    <n v="3"/>
    <n v="50"/>
    <x v="0"/>
    <x v="4"/>
    <x v="2"/>
    <x v="2"/>
  </r>
  <r>
    <n v="503"/>
    <d v="2023-10-25T00:00:00"/>
    <s v="CUST503"/>
    <x v="0"/>
    <n v="45"/>
    <x v="0"/>
    <n v="4"/>
    <n v="500"/>
    <x v="11"/>
    <x v="7"/>
    <x v="1"/>
    <x v="0"/>
  </r>
  <r>
    <n v="504"/>
    <d v="2023-05-16T00:00:00"/>
    <s v="CUST504"/>
    <x v="1"/>
    <n v="38"/>
    <x v="0"/>
    <n v="3"/>
    <n v="50"/>
    <x v="0"/>
    <x v="3"/>
    <x v="2"/>
    <x v="2"/>
  </r>
  <r>
    <n v="505"/>
    <d v="2023-01-20T00:00:00"/>
    <s v="CUST505"/>
    <x v="0"/>
    <n v="24"/>
    <x v="0"/>
    <n v="1"/>
    <n v="50"/>
    <x v="5"/>
    <x v="2"/>
    <x v="4"/>
    <x v="1"/>
  </r>
  <r>
    <n v="506"/>
    <d v="2023-02-25T00:00:00"/>
    <s v="CUST506"/>
    <x v="0"/>
    <n v="34"/>
    <x v="0"/>
    <n v="3"/>
    <n v="500"/>
    <x v="9"/>
    <x v="1"/>
    <x v="0"/>
    <x v="1"/>
  </r>
  <r>
    <n v="507"/>
    <d v="2023-11-02T00:00:00"/>
    <s v="CUST507"/>
    <x v="1"/>
    <n v="37"/>
    <x v="2"/>
    <n v="3"/>
    <n v="500"/>
    <x v="9"/>
    <x v="0"/>
    <x v="2"/>
    <x v="0"/>
  </r>
  <r>
    <n v="508"/>
    <d v="2023-08-11T00:00:00"/>
    <s v="CUST508"/>
    <x v="0"/>
    <n v="58"/>
    <x v="0"/>
    <n v="2"/>
    <n v="300"/>
    <x v="6"/>
    <x v="8"/>
    <x v="3"/>
    <x v="3"/>
  </r>
  <r>
    <n v="509"/>
    <d v="2023-06-26T00:00:00"/>
    <s v="CUST509"/>
    <x v="1"/>
    <n v="37"/>
    <x v="2"/>
    <n v="3"/>
    <n v="300"/>
    <x v="12"/>
    <x v="10"/>
    <x v="2"/>
    <x v="2"/>
  </r>
  <r>
    <n v="510"/>
    <d v="2023-06-10T00:00:00"/>
    <s v="CUST510"/>
    <x v="1"/>
    <n v="39"/>
    <x v="0"/>
    <n v="4"/>
    <n v="50"/>
    <x v="7"/>
    <x v="10"/>
    <x v="2"/>
    <x v="2"/>
  </r>
  <r>
    <n v="511"/>
    <d v="2023-08-12T00:00:00"/>
    <s v="CUST511"/>
    <x v="0"/>
    <n v="45"/>
    <x v="0"/>
    <n v="2"/>
    <n v="50"/>
    <x v="4"/>
    <x v="8"/>
    <x v="1"/>
    <x v="3"/>
  </r>
  <r>
    <n v="512"/>
    <d v="2023-11-07T00:00:00"/>
    <s v="CUST512"/>
    <x v="1"/>
    <n v="57"/>
    <x v="0"/>
    <n v="1"/>
    <n v="25"/>
    <x v="16"/>
    <x v="0"/>
    <x v="3"/>
    <x v="0"/>
  </r>
  <r>
    <n v="513"/>
    <d v="2023-09-19T00:00:00"/>
    <s v="CUST513"/>
    <x v="0"/>
    <n v="24"/>
    <x v="2"/>
    <n v="4"/>
    <n v="25"/>
    <x v="4"/>
    <x v="9"/>
    <x v="4"/>
    <x v="3"/>
  </r>
  <r>
    <n v="514"/>
    <d v="2023-03-01T00:00:00"/>
    <s v="CUST514"/>
    <x v="1"/>
    <n v="18"/>
    <x v="2"/>
    <n v="1"/>
    <n v="300"/>
    <x v="13"/>
    <x v="5"/>
    <x v="4"/>
    <x v="1"/>
  </r>
  <r>
    <n v="515"/>
    <d v="2023-07-17T00:00:00"/>
    <s v="CUST515"/>
    <x v="1"/>
    <n v="49"/>
    <x v="1"/>
    <n v="3"/>
    <n v="300"/>
    <x v="12"/>
    <x v="11"/>
    <x v="1"/>
    <x v="3"/>
  </r>
  <r>
    <n v="516"/>
    <d v="2023-10-23T00:00:00"/>
    <s v="CUST516"/>
    <x v="0"/>
    <n v="30"/>
    <x v="0"/>
    <n v="4"/>
    <n v="25"/>
    <x v="4"/>
    <x v="7"/>
    <x v="0"/>
    <x v="0"/>
  </r>
  <r>
    <n v="517"/>
    <d v="2023-04-08T00:00:00"/>
    <s v="CUST517"/>
    <x v="1"/>
    <n v="47"/>
    <x v="1"/>
    <n v="4"/>
    <n v="25"/>
    <x v="4"/>
    <x v="4"/>
    <x v="1"/>
    <x v="2"/>
  </r>
  <r>
    <n v="518"/>
    <d v="2023-05-11T00:00:00"/>
    <s v="CUST518"/>
    <x v="1"/>
    <n v="40"/>
    <x v="1"/>
    <n v="1"/>
    <n v="30"/>
    <x v="2"/>
    <x v="3"/>
    <x v="2"/>
    <x v="2"/>
  </r>
  <r>
    <n v="519"/>
    <d v="2023-01-23T00:00:00"/>
    <s v="CUST519"/>
    <x v="1"/>
    <n v="36"/>
    <x v="2"/>
    <n v="4"/>
    <n v="30"/>
    <x v="10"/>
    <x v="2"/>
    <x v="2"/>
    <x v="1"/>
  </r>
  <r>
    <n v="520"/>
    <d v="2023-12-29T00:00:00"/>
    <s v="CUST520"/>
    <x v="1"/>
    <n v="49"/>
    <x v="2"/>
    <n v="4"/>
    <n v="25"/>
    <x v="4"/>
    <x v="6"/>
    <x v="1"/>
    <x v="0"/>
  </r>
  <r>
    <n v="521"/>
    <d v="2023-08-12T00:00:00"/>
    <s v="CUST521"/>
    <x v="1"/>
    <n v="47"/>
    <x v="1"/>
    <n v="4"/>
    <n v="30"/>
    <x v="10"/>
    <x v="8"/>
    <x v="1"/>
    <x v="3"/>
  </r>
  <r>
    <n v="522"/>
    <d v="2023-01-01T00:00:00"/>
    <s v="CUST522"/>
    <x v="0"/>
    <n v="46"/>
    <x v="0"/>
    <n v="3"/>
    <n v="500"/>
    <x v="9"/>
    <x v="2"/>
    <x v="1"/>
    <x v="1"/>
  </r>
  <r>
    <n v="523"/>
    <d v="2023-09-24T00:00:00"/>
    <s v="CUST523"/>
    <x v="1"/>
    <n v="62"/>
    <x v="2"/>
    <n v="1"/>
    <n v="300"/>
    <x v="13"/>
    <x v="9"/>
    <x v="3"/>
    <x v="3"/>
  </r>
  <r>
    <n v="524"/>
    <d v="2023-10-03T00:00:00"/>
    <s v="CUST524"/>
    <x v="0"/>
    <n v="46"/>
    <x v="0"/>
    <n v="4"/>
    <n v="300"/>
    <x v="14"/>
    <x v="7"/>
    <x v="1"/>
    <x v="0"/>
  </r>
  <r>
    <n v="525"/>
    <d v="2023-12-18T00:00:00"/>
    <s v="CUST525"/>
    <x v="1"/>
    <n v="47"/>
    <x v="0"/>
    <n v="2"/>
    <n v="25"/>
    <x v="5"/>
    <x v="6"/>
    <x v="1"/>
    <x v="0"/>
  </r>
  <r>
    <n v="526"/>
    <d v="2023-12-10T00:00:00"/>
    <s v="CUST526"/>
    <x v="0"/>
    <n v="33"/>
    <x v="1"/>
    <n v="2"/>
    <n v="50"/>
    <x v="4"/>
    <x v="6"/>
    <x v="0"/>
    <x v="0"/>
  </r>
  <r>
    <n v="527"/>
    <d v="2023-04-11T00:00:00"/>
    <s v="CUST527"/>
    <x v="0"/>
    <n v="57"/>
    <x v="1"/>
    <n v="2"/>
    <n v="25"/>
    <x v="5"/>
    <x v="4"/>
    <x v="3"/>
    <x v="2"/>
  </r>
  <r>
    <n v="528"/>
    <d v="2023-07-06T00:00:00"/>
    <s v="CUST528"/>
    <x v="1"/>
    <n v="36"/>
    <x v="1"/>
    <n v="2"/>
    <n v="30"/>
    <x v="17"/>
    <x v="11"/>
    <x v="2"/>
    <x v="3"/>
  </r>
  <r>
    <n v="529"/>
    <d v="2023-08-09T00:00:00"/>
    <s v="CUST529"/>
    <x v="1"/>
    <n v="35"/>
    <x v="1"/>
    <n v="3"/>
    <n v="50"/>
    <x v="0"/>
    <x v="8"/>
    <x v="2"/>
    <x v="3"/>
  </r>
  <r>
    <n v="530"/>
    <d v="2023-02-05T00:00:00"/>
    <s v="CUST530"/>
    <x v="1"/>
    <n v="18"/>
    <x v="2"/>
    <n v="4"/>
    <n v="30"/>
    <x v="10"/>
    <x v="1"/>
    <x v="4"/>
    <x v="1"/>
  </r>
  <r>
    <n v="531"/>
    <d v="2023-12-07T00:00:00"/>
    <s v="CUST531"/>
    <x v="0"/>
    <n v="31"/>
    <x v="2"/>
    <n v="1"/>
    <n v="500"/>
    <x v="3"/>
    <x v="6"/>
    <x v="0"/>
    <x v="0"/>
  </r>
  <r>
    <n v="532"/>
    <d v="2023-06-19T00:00:00"/>
    <s v="CUST532"/>
    <x v="1"/>
    <n v="64"/>
    <x v="1"/>
    <n v="4"/>
    <n v="30"/>
    <x v="10"/>
    <x v="10"/>
    <x v="3"/>
    <x v="2"/>
  </r>
  <r>
    <n v="533"/>
    <d v="2023-11-16T00:00:00"/>
    <s v="CUST533"/>
    <x v="0"/>
    <n v="19"/>
    <x v="2"/>
    <n v="3"/>
    <n v="500"/>
    <x v="9"/>
    <x v="0"/>
    <x v="4"/>
    <x v="0"/>
  </r>
  <r>
    <n v="534"/>
    <d v="2023-06-10T00:00:00"/>
    <s v="CUST534"/>
    <x v="0"/>
    <n v="45"/>
    <x v="1"/>
    <n v="2"/>
    <n v="500"/>
    <x v="1"/>
    <x v="10"/>
    <x v="1"/>
    <x v="2"/>
  </r>
  <r>
    <n v="535"/>
    <d v="2023-12-06T00:00:00"/>
    <s v="CUST535"/>
    <x v="0"/>
    <n v="47"/>
    <x v="0"/>
    <n v="3"/>
    <n v="30"/>
    <x v="15"/>
    <x v="6"/>
    <x v="1"/>
    <x v="0"/>
  </r>
  <r>
    <n v="536"/>
    <d v="2023-03-05T00:00:00"/>
    <s v="CUST536"/>
    <x v="1"/>
    <n v="55"/>
    <x v="0"/>
    <n v="4"/>
    <n v="30"/>
    <x v="10"/>
    <x v="5"/>
    <x v="3"/>
    <x v="1"/>
  </r>
  <r>
    <n v="537"/>
    <d v="2023-06-03T00:00:00"/>
    <s v="CUST537"/>
    <x v="1"/>
    <n v="21"/>
    <x v="0"/>
    <n v="1"/>
    <n v="500"/>
    <x v="3"/>
    <x v="10"/>
    <x v="4"/>
    <x v="2"/>
  </r>
  <r>
    <n v="538"/>
    <d v="2023-09-17T00:00:00"/>
    <s v="CUST538"/>
    <x v="0"/>
    <n v="18"/>
    <x v="1"/>
    <n v="3"/>
    <n v="50"/>
    <x v="0"/>
    <x v="9"/>
    <x v="4"/>
    <x v="3"/>
  </r>
  <r>
    <n v="539"/>
    <d v="2023-06-08T00:00:00"/>
    <s v="CUST539"/>
    <x v="0"/>
    <n v="25"/>
    <x v="0"/>
    <n v="1"/>
    <n v="500"/>
    <x v="3"/>
    <x v="10"/>
    <x v="0"/>
    <x v="2"/>
  </r>
  <r>
    <n v="540"/>
    <d v="2023-12-08T00:00:00"/>
    <s v="CUST540"/>
    <x v="1"/>
    <n v="46"/>
    <x v="2"/>
    <n v="3"/>
    <n v="300"/>
    <x v="12"/>
    <x v="6"/>
    <x v="1"/>
    <x v="0"/>
  </r>
  <r>
    <n v="541"/>
    <d v="2023-07-29T00:00:00"/>
    <s v="CUST541"/>
    <x v="0"/>
    <n v="56"/>
    <x v="0"/>
    <n v="1"/>
    <n v="500"/>
    <x v="3"/>
    <x v="11"/>
    <x v="3"/>
    <x v="3"/>
  </r>
  <r>
    <n v="542"/>
    <d v="2023-06-17T00:00:00"/>
    <s v="CUST542"/>
    <x v="1"/>
    <n v="20"/>
    <x v="0"/>
    <n v="1"/>
    <n v="50"/>
    <x v="5"/>
    <x v="10"/>
    <x v="4"/>
    <x v="2"/>
  </r>
  <r>
    <n v="543"/>
    <d v="2023-07-26T00:00:00"/>
    <s v="CUST543"/>
    <x v="0"/>
    <n v="49"/>
    <x v="0"/>
    <n v="2"/>
    <n v="300"/>
    <x v="6"/>
    <x v="11"/>
    <x v="1"/>
    <x v="3"/>
  </r>
  <r>
    <n v="544"/>
    <d v="2023-12-23T00:00:00"/>
    <s v="CUST544"/>
    <x v="1"/>
    <n v="27"/>
    <x v="2"/>
    <n v="1"/>
    <n v="25"/>
    <x v="16"/>
    <x v="6"/>
    <x v="0"/>
    <x v="0"/>
  </r>
  <r>
    <n v="545"/>
    <d v="2023-06-01T00:00:00"/>
    <s v="CUST545"/>
    <x v="0"/>
    <n v="27"/>
    <x v="1"/>
    <n v="2"/>
    <n v="25"/>
    <x v="5"/>
    <x v="10"/>
    <x v="0"/>
    <x v="2"/>
  </r>
  <r>
    <n v="546"/>
    <d v="2023-10-11T00:00:00"/>
    <s v="CUST546"/>
    <x v="1"/>
    <n v="36"/>
    <x v="2"/>
    <n v="4"/>
    <n v="50"/>
    <x v="7"/>
    <x v="7"/>
    <x v="2"/>
    <x v="0"/>
  </r>
  <r>
    <n v="547"/>
    <d v="2023-03-07T00:00:00"/>
    <s v="CUST547"/>
    <x v="0"/>
    <n v="63"/>
    <x v="1"/>
    <n v="4"/>
    <n v="500"/>
    <x v="11"/>
    <x v="5"/>
    <x v="3"/>
    <x v="1"/>
  </r>
  <r>
    <n v="548"/>
    <d v="2023-04-09T00:00:00"/>
    <s v="CUST548"/>
    <x v="1"/>
    <n v="51"/>
    <x v="1"/>
    <n v="2"/>
    <n v="30"/>
    <x v="17"/>
    <x v="4"/>
    <x v="1"/>
    <x v="2"/>
  </r>
  <r>
    <n v="549"/>
    <d v="2023-08-04T00:00:00"/>
    <s v="CUST549"/>
    <x v="1"/>
    <n v="50"/>
    <x v="0"/>
    <n v="2"/>
    <n v="50"/>
    <x v="4"/>
    <x v="8"/>
    <x v="1"/>
    <x v="3"/>
  </r>
  <r>
    <n v="550"/>
    <d v="2023-12-07T00:00:00"/>
    <s v="CUST550"/>
    <x v="0"/>
    <n v="40"/>
    <x v="1"/>
    <n v="3"/>
    <n v="300"/>
    <x v="12"/>
    <x v="6"/>
    <x v="2"/>
    <x v="0"/>
  </r>
  <r>
    <n v="551"/>
    <d v="2023-07-14T00:00:00"/>
    <s v="CUST551"/>
    <x v="0"/>
    <n v="45"/>
    <x v="2"/>
    <n v="3"/>
    <n v="300"/>
    <x v="12"/>
    <x v="11"/>
    <x v="1"/>
    <x v="3"/>
  </r>
  <r>
    <n v="552"/>
    <d v="2023-12-13T00:00:00"/>
    <s v="CUST552"/>
    <x v="1"/>
    <n v="49"/>
    <x v="2"/>
    <n v="3"/>
    <n v="25"/>
    <x v="8"/>
    <x v="6"/>
    <x v="1"/>
    <x v="0"/>
  </r>
  <r>
    <n v="553"/>
    <d v="2023-03-31T00:00:00"/>
    <s v="CUST553"/>
    <x v="0"/>
    <n v="24"/>
    <x v="1"/>
    <n v="4"/>
    <n v="300"/>
    <x v="14"/>
    <x v="5"/>
    <x v="4"/>
    <x v="1"/>
  </r>
  <r>
    <n v="554"/>
    <d v="2023-11-12T00:00:00"/>
    <s v="CUST554"/>
    <x v="1"/>
    <n v="46"/>
    <x v="0"/>
    <n v="3"/>
    <n v="50"/>
    <x v="0"/>
    <x v="0"/>
    <x v="1"/>
    <x v="0"/>
  </r>
  <r>
    <n v="555"/>
    <d v="2023-10-19T00:00:00"/>
    <s v="CUST555"/>
    <x v="0"/>
    <n v="25"/>
    <x v="0"/>
    <n v="1"/>
    <n v="300"/>
    <x v="13"/>
    <x v="7"/>
    <x v="0"/>
    <x v="0"/>
  </r>
  <r>
    <n v="556"/>
    <d v="2023-06-04T00:00:00"/>
    <s v="CUST556"/>
    <x v="1"/>
    <n v="18"/>
    <x v="2"/>
    <n v="1"/>
    <n v="50"/>
    <x v="5"/>
    <x v="10"/>
    <x v="4"/>
    <x v="2"/>
  </r>
  <r>
    <n v="557"/>
    <d v="2023-07-27T00:00:00"/>
    <s v="CUST557"/>
    <x v="1"/>
    <n v="20"/>
    <x v="0"/>
    <n v="3"/>
    <n v="30"/>
    <x v="15"/>
    <x v="11"/>
    <x v="4"/>
    <x v="3"/>
  </r>
  <r>
    <n v="558"/>
    <d v="2023-10-08T00:00:00"/>
    <s v="CUST558"/>
    <x v="1"/>
    <n v="41"/>
    <x v="1"/>
    <n v="1"/>
    <n v="25"/>
    <x v="16"/>
    <x v="7"/>
    <x v="2"/>
    <x v="0"/>
  </r>
  <r>
    <n v="559"/>
    <d v="2023-01-01T00:00:00"/>
    <s v="CUST559"/>
    <x v="1"/>
    <n v="40"/>
    <x v="1"/>
    <n v="4"/>
    <n v="300"/>
    <x v="14"/>
    <x v="2"/>
    <x v="2"/>
    <x v="1"/>
  </r>
  <r>
    <n v="560"/>
    <d v="2023-06-05T00:00:00"/>
    <s v="CUST560"/>
    <x v="1"/>
    <n v="25"/>
    <x v="2"/>
    <n v="1"/>
    <n v="50"/>
    <x v="5"/>
    <x v="10"/>
    <x v="0"/>
    <x v="2"/>
  </r>
  <r>
    <n v="561"/>
    <d v="2023-05-27T00:00:00"/>
    <s v="CUST561"/>
    <x v="1"/>
    <n v="64"/>
    <x v="1"/>
    <n v="4"/>
    <n v="500"/>
    <x v="11"/>
    <x v="3"/>
    <x v="3"/>
    <x v="2"/>
  </r>
  <r>
    <n v="562"/>
    <d v="2023-04-18T00:00:00"/>
    <s v="CUST562"/>
    <x v="0"/>
    <n v="54"/>
    <x v="2"/>
    <n v="2"/>
    <n v="25"/>
    <x v="5"/>
    <x v="4"/>
    <x v="1"/>
    <x v="2"/>
  </r>
  <r>
    <n v="563"/>
    <d v="2023-08-09T00:00:00"/>
    <s v="CUST563"/>
    <x v="0"/>
    <n v="20"/>
    <x v="1"/>
    <n v="2"/>
    <n v="30"/>
    <x v="17"/>
    <x v="8"/>
    <x v="4"/>
    <x v="3"/>
  </r>
  <r>
    <n v="564"/>
    <d v="2023-10-24T00:00:00"/>
    <s v="CUST564"/>
    <x v="0"/>
    <n v="50"/>
    <x v="2"/>
    <n v="2"/>
    <n v="50"/>
    <x v="4"/>
    <x v="7"/>
    <x v="1"/>
    <x v="0"/>
  </r>
  <r>
    <n v="565"/>
    <d v="2023-11-07T00:00:00"/>
    <s v="CUST565"/>
    <x v="1"/>
    <n v="45"/>
    <x v="0"/>
    <n v="2"/>
    <n v="30"/>
    <x v="17"/>
    <x v="0"/>
    <x v="1"/>
    <x v="0"/>
  </r>
  <r>
    <n v="566"/>
    <d v="2023-12-02T00:00:00"/>
    <s v="CUST566"/>
    <x v="1"/>
    <n v="64"/>
    <x v="1"/>
    <n v="1"/>
    <n v="30"/>
    <x v="2"/>
    <x v="6"/>
    <x v="3"/>
    <x v="0"/>
  </r>
  <r>
    <n v="567"/>
    <d v="2023-06-14T00:00:00"/>
    <s v="CUST567"/>
    <x v="1"/>
    <n v="25"/>
    <x v="1"/>
    <n v="3"/>
    <n v="300"/>
    <x v="12"/>
    <x v="10"/>
    <x v="0"/>
    <x v="2"/>
  </r>
  <r>
    <n v="568"/>
    <d v="2023-08-27T00:00:00"/>
    <s v="CUST568"/>
    <x v="1"/>
    <n v="51"/>
    <x v="2"/>
    <n v="1"/>
    <n v="300"/>
    <x v="13"/>
    <x v="8"/>
    <x v="1"/>
    <x v="3"/>
  </r>
  <r>
    <n v="569"/>
    <d v="2023-08-15T00:00:00"/>
    <s v="CUST569"/>
    <x v="0"/>
    <n v="52"/>
    <x v="2"/>
    <n v="4"/>
    <n v="50"/>
    <x v="7"/>
    <x v="8"/>
    <x v="1"/>
    <x v="3"/>
  </r>
  <r>
    <n v="570"/>
    <d v="2023-08-15T00:00:00"/>
    <s v="CUST570"/>
    <x v="0"/>
    <n v="49"/>
    <x v="1"/>
    <n v="1"/>
    <n v="500"/>
    <x v="3"/>
    <x v="8"/>
    <x v="1"/>
    <x v="3"/>
  </r>
  <r>
    <n v="571"/>
    <d v="2023-12-12T00:00:00"/>
    <s v="CUST571"/>
    <x v="1"/>
    <n v="41"/>
    <x v="2"/>
    <n v="1"/>
    <n v="50"/>
    <x v="5"/>
    <x v="6"/>
    <x v="2"/>
    <x v="0"/>
  </r>
  <r>
    <n v="572"/>
    <d v="2023-04-20T00:00:00"/>
    <s v="CUST572"/>
    <x v="0"/>
    <n v="31"/>
    <x v="1"/>
    <n v="4"/>
    <n v="500"/>
    <x v="11"/>
    <x v="4"/>
    <x v="0"/>
    <x v="2"/>
  </r>
  <r>
    <n v="573"/>
    <d v="2023-09-19T00:00:00"/>
    <s v="CUST573"/>
    <x v="0"/>
    <n v="49"/>
    <x v="0"/>
    <n v="2"/>
    <n v="30"/>
    <x v="17"/>
    <x v="9"/>
    <x v="1"/>
    <x v="3"/>
  </r>
  <r>
    <n v="574"/>
    <d v="2023-08-31T00:00:00"/>
    <s v="CUST574"/>
    <x v="1"/>
    <n v="63"/>
    <x v="2"/>
    <n v="2"/>
    <n v="25"/>
    <x v="5"/>
    <x v="8"/>
    <x v="3"/>
    <x v="3"/>
  </r>
  <r>
    <n v="575"/>
    <d v="2023-03-28T00:00:00"/>
    <s v="CUST575"/>
    <x v="0"/>
    <n v="60"/>
    <x v="1"/>
    <n v="2"/>
    <n v="50"/>
    <x v="4"/>
    <x v="5"/>
    <x v="3"/>
    <x v="1"/>
  </r>
  <r>
    <n v="576"/>
    <d v="2023-12-04T00:00:00"/>
    <s v="CUST576"/>
    <x v="1"/>
    <n v="33"/>
    <x v="0"/>
    <n v="3"/>
    <n v="50"/>
    <x v="0"/>
    <x v="6"/>
    <x v="0"/>
    <x v="0"/>
  </r>
  <r>
    <n v="577"/>
    <d v="2023-02-13T00:00:00"/>
    <s v="CUST577"/>
    <x v="0"/>
    <n v="21"/>
    <x v="0"/>
    <n v="4"/>
    <n v="500"/>
    <x v="11"/>
    <x v="1"/>
    <x v="4"/>
    <x v="1"/>
  </r>
  <r>
    <n v="578"/>
    <d v="2023-05-26T00:00:00"/>
    <s v="CUST578"/>
    <x v="1"/>
    <n v="54"/>
    <x v="1"/>
    <n v="4"/>
    <n v="30"/>
    <x v="10"/>
    <x v="3"/>
    <x v="1"/>
    <x v="2"/>
  </r>
  <r>
    <n v="579"/>
    <d v="2023-09-21T00:00:00"/>
    <s v="CUST579"/>
    <x v="1"/>
    <n v="38"/>
    <x v="2"/>
    <n v="1"/>
    <n v="30"/>
    <x v="2"/>
    <x v="9"/>
    <x v="2"/>
    <x v="3"/>
  </r>
  <r>
    <n v="580"/>
    <d v="2023-12-06T00:00:00"/>
    <s v="CUST580"/>
    <x v="1"/>
    <n v="31"/>
    <x v="1"/>
    <n v="3"/>
    <n v="500"/>
    <x v="9"/>
    <x v="6"/>
    <x v="0"/>
    <x v="0"/>
  </r>
  <r>
    <n v="581"/>
    <d v="2023-11-21T00:00:00"/>
    <s v="CUST581"/>
    <x v="1"/>
    <n v="48"/>
    <x v="0"/>
    <n v="2"/>
    <n v="30"/>
    <x v="17"/>
    <x v="0"/>
    <x v="1"/>
    <x v="0"/>
  </r>
  <r>
    <n v="582"/>
    <d v="2023-11-14T00:00:00"/>
    <s v="CUST582"/>
    <x v="0"/>
    <n v="35"/>
    <x v="1"/>
    <n v="3"/>
    <n v="300"/>
    <x v="12"/>
    <x v="0"/>
    <x v="2"/>
    <x v="0"/>
  </r>
  <r>
    <n v="583"/>
    <d v="2023-06-21T00:00:00"/>
    <s v="CUST583"/>
    <x v="1"/>
    <n v="24"/>
    <x v="2"/>
    <n v="4"/>
    <n v="25"/>
    <x v="4"/>
    <x v="10"/>
    <x v="4"/>
    <x v="2"/>
  </r>
  <r>
    <n v="584"/>
    <d v="2023-02-17T00:00:00"/>
    <s v="CUST584"/>
    <x v="1"/>
    <n v="27"/>
    <x v="0"/>
    <n v="4"/>
    <n v="50"/>
    <x v="7"/>
    <x v="1"/>
    <x v="0"/>
    <x v="1"/>
  </r>
  <r>
    <n v="585"/>
    <d v="2023-05-01T00:00:00"/>
    <s v="CUST585"/>
    <x v="1"/>
    <n v="24"/>
    <x v="1"/>
    <n v="1"/>
    <n v="25"/>
    <x v="16"/>
    <x v="3"/>
    <x v="4"/>
    <x v="2"/>
  </r>
  <r>
    <n v="586"/>
    <d v="2023-12-11T00:00:00"/>
    <s v="CUST586"/>
    <x v="0"/>
    <n v="50"/>
    <x v="2"/>
    <n v="1"/>
    <n v="50"/>
    <x v="5"/>
    <x v="6"/>
    <x v="1"/>
    <x v="0"/>
  </r>
  <r>
    <n v="587"/>
    <d v="2023-06-08T00:00:00"/>
    <s v="CUST587"/>
    <x v="1"/>
    <n v="40"/>
    <x v="0"/>
    <n v="4"/>
    <n v="300"/>
    <x v="14"/>
    <x v="10"/>
    <x v="2"/>
    <x v="2"/>
  </r>
  <r>
    <n v="588"/>
    <d v="2023-04-26T00:00:00"/>
    <s v="CUST588"/>
    <x v="0"/>
    <n v="38"/>
    <x v="2"/>
    <n v="2"/>
    <n v="30"/>
    <x v="17"/>
    <x v="4"/>
    <x v="2"/>
    <x v="2"/>
  </r>
  <r>
    <n v="589"/>
    <d v="2023-04-12T00:00:00"/>
    <s v="CUST589"/>
    <x v="1"/>
    <n v="36"/>
    <x v="0"/>
    <n v="2"/>
    <n v="500"/>
    <x v="1"/>
    <x v="4"/>
    <x v="2"/>
    <x v="2"/>
  </r>
  <r>
    <n v="590"/>
    <d v="2023-03-17T00:00:00"/>
    <s v="CUST590"/>
    <x v="0"/>
    <n v="36"/>
    <x v="1"/>
    <n v="3"/>
    <n v="300"/>
    <x v="12"/>
    <x v="5"/>
    <x v="2"/>
    <x v="1"/>
  </r>
  <r>
    <n v="591"/>
    <d v="2023-01-13T00:00:00"/>
    <s v="CUST591"/>
    <x v="0"/>
    <n v="53"/>
    <x v="2"/>
    <n v="4"/>
    <n v="25"/>
    <x v="4"/>
    <x v="2"/>
    <x v="1"/>
    <x v="1"/>
  </r>
  <r>
    <n v="592"/>
    <d v="2023-01-24T00:00:00"/>
    <s v="CUST592"/>
    <x v="1"/>
    <n v="46"/>
    <x v="0"/>
    <n v="4"/>
    <n v="500"/>
    <x v="11"/>
    <x v="2"/>
    <x v="1"/>
    <x v="1"/>
  </r>
  <r>
    <n v="593"/>
    <d v="2023-05-06T00:00:00"/>
    <s v="CUST593"/>
    <x v="0"/>
    <n v="35"/>
    <x v="2"/>
    <n v="2"/>
    <n v="30"/>
    <x v="17"/>
    <x v="3"/>
    <x v="2"/>
    <x v="2"/>
  </r>
  <r>
    <n v="594"/>
    <d v="2023-09-01T00:00:00"/>
    <s v="CUST594"/>
    <x v="1"/>
    <n v="19"/>
    <x v="2"/>
    <n v="2"/>
    <n v="300"/>
    <x v="6"/>
    <x v="9"/>
    <x v="4"/>
    <x v="3"/>
  </r>
  <r>
    <n v="595"/>
    <d v="2023-11-09T00:00:00"/>
    <s v="CUST595"/>
    <x v="1"/>
    <n v="18"/>
    <x v="1"/>
    <n v="4"/>
    <n v="500"/>
    <x v="11"/>
    <x v="0"/>
    <x v="4"/>
    <x v="0"/>
  </r>
  <r>
    <n v="596"/>
    <d v="2023-02-07T00:00:00"/>
    <s v="CUST596"/>
    <x v="1"/>
    <n v="64"/>
    <x v="2"/>
    <n v="1"/>
    <n v="300"/>
    <x v="13"/>
    <x v="1"/>
    <x v="3"/>
    <x v="1"/>
  </r>
  <r>
    <n v="597"/>
    <d v="2023-08-22T00:00:00"/>
    <s v="CUST597"/>
    <x v="0"/>
    <n v="22"/>
    <x v="0"/>
    <n v="4"/>
    <n v="300"/>
    <x v="14"/>
    <x v="8"/>
    <x v="4"/>
    <x v="3"/>
  </r>
  <r>
    <n v="598"/>
    <d v="2023-08-01T00:00:00"/>
    <s v="CUST598"/>
    <x v="0"/>
    <n v="37"/>
    <x v="0"/>
    <n v="4"/>
    <n v="30"/>
    <x v="10"/>
    <x v="8"/>
    <x v="2"/>
    <x v="3"/>
  </r>
  <r>
    <n v="599"/>
    <d v="2023-11-19T00:00:00"/>
    <s v="CUST599"/>
    <x v="1"/>
    <n v="28"/>
    <x v="0"/>
    <n v="2"/>
    <n v="50"/>
    <x v="4"/>
    <x v="0"/>
    <x v="0"/>
    <x v="0"/>
  </r>
  <r>
    <n v="600"/>
    <d v="2023-10-22T00:00:00"/>
    <s v="CUST600"/>
    <x v="1"/>
    <n v="59"/>
    <x v="0"/>
    <n v="2"/>
    <n v="500"/>
    <x v="1"/>
    <x v="7"/>
    <x v="3"/>
    <x v="0"/>
  </r>
  <r>
    <n v="601"/>
    <d v="2023-04-10T00:00:00"/>
    <s v="CUST601"/>
    <x v="0"/>
    <n v="19"/>
    <x v="1"/>
    <n v="1"/>
    <n v="30"/>
    <x v="2"/>
    <x v="4"/>
    <x v="4"/>
    <x v="2"/>
  </r>
  <r>
    <n v="602"/>
    <d v="2023-12-23T00:00:00"/>
    <s v="CUST602"/>
    <x v="1"/>
    <n v="20"/>
    <x v="2"/>
    <n v="1"/>
    <n v="300"/>
    <x v="13"/>
    <x v="6"/>
    <x v="4"/>
    <x v="0"/>
  </r>
  <r>
    <n v="603"/>
    <d v="2023-07-16T00:00:00"/>
    <s v="CUST603"/>
    <x v="1"/>
    <n v="40"/>
    <x v="1"/>
    <n v="3"/>
    <n v="30"/>
    <x v="15"/>
    <x v="11"/>
    <x v="2"/>
    <x v="3"/>
  </r>
  <r>
    <n v="604"/>
    <d v="2023-09-11T00:00:00"/>
    <s v="CUST604"/>
    <x v="1"/>
    <n v="29"/>
    <x v="2"/>
    <n v="4"/>
    <n v="50"/>
    <x v="7"/>
    <x v="9"/>
    <x v="0"/>
    <x v="3"/>
  </r>
  <r>
    <n v="605"/>
    <d v="2023-07-24T00:00:00"/>
    <s v="CUST605"/>
    <x v="0"/>
    <n v="37"/>
    <x v="2"/>
    <n v="2"/>
    <n v="500"/>
    <x v="1"/>
    <x v="11"/>
    <x v="2"/>
    <x v="3"/>
  </r>
  <r>
    <n v="606"/>
    <d v="2023-05-05T00:00:00"/>
    <s v="CUST606"/>
    <x v="0"/>
    <n v="22"/>
    <x v="2"/>
    <n v="1"/>
    <n v="50"/>
    <x v="5"/>
    <x v="3"/>
    <x v="4"/>
    <x v="2"/>
  </r>
  <r>
    <n v="607"/>
    <d v="2023-03-17T00:00:00"/>
    <s v="CUST607"/>
    <x v="0"/>
    <n v="54"/>
    <x v="1"/>
    <n v="3"/>
    <n v="25"/>
    <x v="8"/>
    <x v="5"/>
    <x v="1"/>
    <x v="1"/>
  </r>
  <r>
    <n v="608"/>
    <d v="2023-12-02T00:00:00"/>
    <s v="CUST608"/>
    <x v="1"/>
    <n v="55"/>
    <x v="2"/>
    <n v="3"/>
    <n v="500"/>
    <x v="9"/>
    <x v="6"/>
    <x v="3"/>
    <x v="0"/>
  </r>
  <r>
    <n v="609"/>
    <d v="2023-12-19T00:00:00"/>
    <s v="CUST609"/>
    <x v="1"/>
    <n v="47"/>
    <x v="1"/>
    <n v="2"/>
    <n v="50"/>
    <x v="4"/>
    <x v="6"/>
    <x v="1"/>
    <x v="0"/>
  </r>
  <r>
    <n v="610"/>
    <d v="2023-01-03T00:00:00"/>
    <s v="CUST610"/>
    <x v="1"/>
    <n v="26"/>
    <x v="0"/>
    <n v="2"/>
    <n v="300"/>
    <x v="6"/>
    <x v="2"/>
    <x v="0"/>
    <x v="1"/>
  </r>
  <r>
    <n v="611"/>
    <d v="2023-02-24T00:00:00"/>
    <s v="CUST611"/>
    <x v="0"/>
    <n v="51"/>
    <x v="0"/>
    <n v="3"/>
    <n v="500"/>
    <x v="9"/>
    <x v="1"/>
    <x v="1"/>
    <x v="1"/>
  </r>
  <r>
    <n v="612"/>
    <d v="2023-08-06T00:00:00"/>
    <s v="CUST612"/>
    <x v="1"/>
    <n v="61"/>
    <x v="2"/>
    <n v="1"/>
    <n v="500"/>
    <x v="3"/>
    <x v="8"/>
    <x v="3"/>
    <x v="3"/>
  </r>
  <r>
    <n v="613"/>
    <d v="2023-04-23T00:00:00"/>
    <s v="CUST613"/>
    <x v="1"/>
    <n v="52"/>
    <x v="1"/>
    <n v="3"/>
    <n v="30"/>
    <x v="15"/>
    <x v="4"/>
    <x v="1"/>
    <x v="2"/>
  </r>
  <r>
    <n v="614"/>
    <d v="2023-04-01T00:00:00"/>
    <s v="CUST614"/>
    <x v="1"/>
    <n v="39"/>
    <x v="0"/>
    <n v="4"/>
    <n v="300"/>
    <x v="14"/>
    <x v="4"/>
    <x v="2"/>
    <x v="2"/>
  </r>
  <r>
    <n v="615"/>
    <d v="2023-12-23T00:00:00"/>
    <s v="CUST615"/>
    <x v="1"/>
    <n v="61"/>
    <x v="1"/>
    <n v="4"/>
    <n v="25"/>
    <x v="4"/>
    <x v="6"/>
    <x v="3"/>
    <x v="0"/>
  </r>
  <r>
    <n v="616"/>
    <d v="2023-09-23T00:00:00"/>
    <s v="CUST616"/>
    <x v="0"/>
    <n v="41"/>
    <x v="1"/>
    <n v="2"/>
    <n v="50"/>
    <x v="4"/>
    <x v="9"/>
    <x v="2"/>
    <x v="3"/>
  </r>
  <r>
    <n v="617"/>
    <d v="2023-08-26T00:00:00"/>
    <s v="CUST617"/>
    <x v="0"/>
    <n v="34"/>
    <x v="2"/>
    <n v="1"/>
    <n v="30"/>
    <x v="2"/>
    <x v="8"/>
    <x v="0"/>
    <x v="3"/>
  </r>
  <r>
    <n v="618"/>
    <d v="2023-01-26T00:00:00"/>
    <s v="CUST618"/>
    <x v="1"/>
    <n v="27"/>
    <x v="0"/>
    <n v="1"/>
    <n v="50"/>
    <x v="5"/>
    <x v="2"/>
    <x v="0"/>
    <x v="1"/>
  </r>
  <r>
    <n v="619"/>
    <d v="2023-10-13T00:00:00"/>
    <s v="CUST619"/>
    <x v="0"/>
    <n v="47"/>
    <x v="2"/>
    <n v="4"/>
    <n v="25"/>
    <x v="4"/>
    <x v="7"/>
    <x v="1"/>
    <x v="0"/>
  </r>
  <r>
    <n v="620"/>
    <d v="2023-05-08T00:00:00"/>
    <s v="CUST620"/>
    <x v="0"/>
    <n v="63"/>
    <x v="2"/>
    <n v="3"/>
    <n v="25"/>
    <x v="8"/>
    <x v="3"/>
    <x v="3"/>
    <x v="2"/>
  </r>
  <r>
    <n v="621"/>
    <d v="2023-03-04T00:00:00"/>
    <s v="CUST621"/>
    <x v="1"/>
    <n v="40"/>
    <x v="0"/>
    <n v="2"/>
    <n v="500"/>
    <x v="1"/>
    <x v="5"/>
    <x v="2"/>
    <x v="1"/>
  </r>
  <r>
    <n v="622"/>
    <d v="2023-08-22T00:00:00"/>
    <s v="CUST622"/>
    <x v="1"/>
    <n v="49"/>
    <x v="0"/>
    <n v="3"/>
    <n v="25"/>
    <x v="8"/>
    <x v="8"/>
    <x v="1"/>
    <x v="3"/>
  </r>
  <r>
    <n v="623"/>
    <d v="2023-03-10T00:00:00"/>
    <s v="CUST623"/>
    <x v="0"/>
    <n v="34"/>
    <x v="1"/>
    <n v="3"/>
    <n v="50"/>
    <x v="0"/>
    <x v="5"/>
    <x v="0"/>
    <x v="1"/>
  </r>
  <r>
    <n v="624"/>
    <d v="2023-08-26T00:00:00"/>
    <s v="CUST624"/>
    <x v="1"/>
    <n v="34"/>
    <x v="0"/>
    <n v="3"/>
    <n v="300"/>
    <x v="12"/>
    <x v="8"/>
    <x v="0"/>
    <x v="3"/>
  </r>
  <r>
    <n v="625"/>
    <d v="2023-12-08T00:00:00"/>
    <s v="CUST625"/>
    <x v="0"/>
    <n v="31"/>
    <x v="1"/>
    <n v="1"/>
    <n v="300"/>
    <x v="13"/>
    <x v="6"/>
    <x v="0"/>
    <x v="0"/>
  </r>
  <r>
    <n v="626"/>
    <d v="2023-09-29T00:00:00"/>
    <s v="CUST626"/>
    <x v="1"/>
    <n v="26"/>
    <x v="1"/>
    <n v="4"/>
    <n v="500"/>
    <x v="11"/>
    <x v="9"/>
    <x v="0"/>
    <x v="3"/>
  </r>
  <r>
    <n v="627"/>
    <d v="2023-10-14T00:00:00"/>
    <s v="CUST627"/>
    <x v="0"/>
    <n v="57"/>
    <x v="1"/>
    <n v="1"/>
    <n v="50"/>
    <x v="5"/>
    <x v="7"/>
    <x v="3"/>
    <x v="0"/>
  </r>
  <r>
    <n v="628"/>
    <d v="2023-11-01T00:00:00"/>
    <s v="CUST628"/>
    <x v="1"/>
    <n v="19"/>
    <x v="0"/>
    <n v="4"/>
    <n v="50"/>
    <x v="7"/>
    <x v="0"/>
    <x v="4"/>
    <x v="0"/>
  </r>
  <r>
    <n v="629"/>
    <d v="2023-06-12T00:00:00"/>
    <s v="CUST629"/>
    <x v="0"/>
    <n v="62"/>
    <x v="2"/>
    <n v="2"/>
    <n v="25"/>
    <x v="5"/>
    <x v="10"/>
    <x v="3"/>
    <x v="2"/>
  </r>
  <r>
    <n v="630"/>
    <d v="2023-08-15T00:00:00"/>
    <s v="CUST630"/>
    <x v="0"/>
    <n v="42"/>
    <x v="1"/>
    <n v="2"/>
    <n v="50"/>
    <x v="4"/>
    <x v="8"/>
    <x v="2"/>
    <x v="3"/>
  </r>
  <r>
    <n v="631"/>
    <d v="2023-11-10T00:00:00"/>
    <s v="CUST631"/>
    <x v="0"/>
    <n v="56"/>
    <x v="2"/>
    <n v="3"/>
    <n v="30"/>
    <x v="15"/>
    <x v="0"/>
    <x v="3"/>
    <x v="0"/>
  </r>
  <r>
    <n v="632"/>
    <d v="2023-09-16T00:00:00"/>
    <s v="CUST632"/>
    <x v="1"/>
    <n v="26"/>
    <x v="2"/>
    <n v="4"/>
    <n v="25"/>
    <x v="4"/>
    <x v="9"/>
    <x v="0"/>
    <x v="3"/>
  </r>
  <r>
    <n v="633"/>
    <d v="2023-08-07T00:00:00"/>
    <s v="CUST633"/>
    <x v="0"/>
    <n v="39"/>
    <x v="0"/>
    <n v="4"/>
    <n v="30"/>
    <x v="10"/>
    <x v="8"/>
    <x v="2"/>
    <x v="3"/>
  </r>
  <r>
    <n v="634"/>
    <d v="2023-10-08T00:00:00"/>
    <s v="CUST634"/>
    <x v="0"/>
    <n v="60"/>
    <x v="2"/>
    <n v="4"/>
    <n v="500"/>
    <x v="11"/>
    <x v="7"/>
    <x v="3"/>
    <x v="0"/>
  </r>
  <r>
    <n v="635"/>
    <d v="2023-08-17T00:00:00"/>
    <s v="CUST635"/>
    <x v="1"/>
    <n v="63"/>
    <x v="2"/>
    <n v="3"/>
    <n v="300"/>
    <x v="12"/>
    <x v="8"/>
    <x v="3"/>
    <x v="3"/>
  </r>
  <r>
    <n v="636"/>
    <d v="2023-03-23T00:00:00"/>
    <s v="CUST636"/>
    <x v="1"/>
    <n v="21"/>
    <x v="0"/>
    <n v="3"/>
    <n v="500"/>
    <x v="9"/>
    <x v="5"/>
    <x v="4"/>
    <x v="1"/>
  </r>
  <r>
    <n v="637"/>
    <d v="2023-09-01T00:00:00"/>
    <s v="CUST637"/>
    <x v="0"/>
    <n v="43"/>
    <x v="1"/>
    <n v="2"/>
    <n v="300"/>
    <x v="6"/>
    <x v="9"/>
    <x v="2"/>
    <x v="3"/>
  </r>
  <r>
    <n v="638"/>
    <d v="2023-08-19T00:00:00"/>
    <s v="CUST638"/>
    <x v="0"/>
    <n v="46"/>
    <x v="2"/>
    <n v="1"/>
    <n v="500"/>
    <x v="3"/>
    <x v="8"/>
    <x v="1"/>
    <x v="3"/>
  </r>
  <r>
    <n v="639"/>
    <d v="2023-05-13T00:00:00"/>
    <s v="CUST639"/>
    <x v="1"/>
    <n v="62"/>
    <x v="0"/>
    <n v="4"/>
    <n v="50"/>
    <x v="7"/>
    <x v="3"/>
    <x v="3"/>
    <x v="2"/>
  </r>
  <r>
    <n v="640"/>
    <d v="2023-05-07T00:00:00"/>
    <s v="CUST640"/>
    <x v="1"/>
    <n v="51"/>
    <x v="2"/>
    <n v="4"/>
    <n v="30"/>
    <x v="10"/>
    <x v="3"/>
    <x v="1"/>
    <x v="2"/>
  </r>
  <r>
    <n v="641"/>
    <d v="2023-11-23T00:00:00"/>
    <s v="CUST641"/>
    <x v="1"/>
    <n v="40"/>
    <x v="2"/>
    <n v="1"/>
    <n v="300"/>
    <x v="13"/>
    <x v="0"/>
    <x v="2"/>
    <x v="0"/>
  </r>
  <r>
    <n v="642"/>
    <d v="2023-05-22T00:00:00"/>
    <s v="CUST642"/>
    <x v="1"/>
    <n v="54"/>
    <x v="1"/>
    <n v="4"/>
    <n v="25"/>
    <x v="4"/>
    <x v="3"/>
    <x v="1"/>
    <x v="2"/>
  </r>
  <r>
    <n v="643"/>
    <d v="2023-09-24T00:00:00"/>
    <s v="CUST643"/>
    <x v="1"/>
    <n v="28"/>
    <x v="2"/>
    <n v="3"/>
    <n v="30"/>
    <x v="15"/>
    <x v="9"/>
    <x v="0"/>
    <x v="3"/>
  </r>
  <r>
    <n v="644"/>
    <d v="2023-09-06T00:00:00"/>
    <s v="CUST644"/>
    <x v="0"/>
    <n v="23"/>
    <x v="0"/>
    <n v="3"/>
    <n v="25"/>
    <x v="8"/>
    <x v="9"/>
    <x v="4"/>
    <x v="3"/>
  </r>
  <r>
    <n v="645"/>
    <d v="2023-11-17T00:00:00"/>
    <s v="CUST645"/>
    <x v="1"/>
    <n v="35"/>
    <x v="2"/>
    <n v="4"/>
    <n v="30"/>
    <x v="10"/>
    <x v="0"/>
    <x v="2"/>
    <x v="0"/>
  </r>
  <r>
    <n v="646"/>
    <d v="2023-05-03T00:00:00"/>
    <s v="CUST646"/>
    <x v="0"/>
    <n v="38"/>
    <x v="1"/>
    <n v="3"/>
    <n v="30"/>
    <x v="15"/>
    <x v="3"/>
    <x v="2"/>
    <x v="2"/>
  </r>
  <r>
    <n v="647"/>
    <d v="2023-05-21T00:00:00"/>
    <s v="CUST647"/>
    <x v="0"/>
    <n v="59"/>
    <x v="1"/>
    <n v="3"/>
    <n v="500"/>
    <x v="9"/>
    <x v="3"/>
    <x v="3"/>
    <x v="2"/>
  </r>
  <r>
    <n v="648"/>
    <d v="2023-08-14T00:00:00"/>
    <s v="CUST648"/>
    <x v="0"/>
    <n v="53"/>
    <x v="0"/>
    <n v="4"/>
    <n v="300"/>
    <x v="14"/>
    <x v="8"/>
    <x v="1"/>
    <x v="3"/>
  </r>
  <r>
    <n v="649"/>
    <d v="2023-02-09T00:00:00"/>
    <s v="CUST649"/>
    <x v="1"/>
    <n v="58"/>
    <x v="1"/>
    <n v="2"/>
    <n v="300"/>
    <x v="6"/>
    <x v="1"/>
    <x v="3"/>
    <x v="1"/>
  </r>
  <r>
    <n v="650"/>
    <d v="2024-01-01T00:00:00"/>
    <s v="CUST650"/>
    <x v="0"/>
    <n v="55"/>
    <x v="2"/>
    <n v="1"/>
    <n v="30"/>
    <x v="2"/>
    <x v="2"/>
    <x v="3"/>
    <x v="1"/>
  </r>
  <r>
    <n v="651"/>
    <d v="2023-05-27T00:00:00"/>
    <s v="CUST651"/>
    <x v="0"/>
    <n v="51"/>
    <x v="1"/>
    <n v="3"/>
    <n v="50"/>
    <x v="0"/>
    <x v="3"/>
    <x v="1"/>
    <x v="2"/>
  </r>
  <r>
    <n v="652"/>
    <d v="2023-05-01T00:00:00"/>
    <s v="CUST652"/>
    <x v="1"/>
    <n v="34"/>
    <x v="0"/>
    <n v="2"/>
    <n v="50"/>
    <x v="4"/>
    <x v="3"/>
    <x v="0"/>
    <x v="2"/>
  </r>
  <r>
    <n v="653"/>
    <d v="2023-05-20T00:00:00"/>
    <s v="CUST653"/>
    <x v="0"/>
    <n v="54"/>
    <x v="1"/>
    <n v="3"/>
    <n v="25"/>
    <x v="8"/>
    <x v="3"/>
    <x v="1"/>
    <x v="2"/>
  </r>
  <r>
    <n v="654"/>
    <d v="2023-06-21T00:00:00"/>
    <s v="CUST654"/>
    <x v="0"/>
    <n v="42"/>
    <x v="1"/>
    <n v="3"/>
    <n v="25"/>
    <x v="8"/>
    <x v="10"/>
    <x v="2"/>
    <x v="2"/>
  </r>
  <r>
    <n v="655"/>
    <d v="2023-06-13T00:00:00"/>
    <s v="CUST655"/>
    <x v="1"/>
    <n v="55"/>
    <x v="1"/>
    <n v="1"/>
    <n v="500"/>
    <x v="3"/>
    <x v="10"/>
    <x v="3"/>
    <x v="2"/>
  </r>
  <r>
    <n v="656"/>
    <d v="2023-10-04T00:00:00"/>
    <s v="CUST656"/>
    <x v="0"/>
    <n v="29"/>
    <x v="0"/>
    <n v="3"/>
    <n v="30"/>
    <x v="15"/>
    <x v="7"/>
    <x v="0"/>
    <x v="0"/>
  </r>
  <r>
    <n v="657"/>
    <d v="2023-02-11T00:00:00"/>
    <s v="CUST657"/>
    <x v="0"/>
    <n v="40"/>
    <x v="1"/>
    <n v="1"/>
    <n v="25"/>
    <x v="16"/>
    <x v="1"/>
    <x v="2"/>
    <x v="1"/>
  </r>
  <r>
    <n v="658"/>
    <d v="2023-03-12T00:00:00"/>
    <s v="CUST658"/>
    <x v="0"/>
    <n v="59"/>
    <x v="1"/>
    <n v="1"/>
    <n v="25"/>
    <x v="16"/>
    <x v="5"/>
    <x v="3"/>
    <x v="1"/>
  </r>
  <r>
    <n v="659"/>
    <d v="2023-03-19T00:00:00"/>
    <s v="CUST659"/>
    <x v="1"/>
    <n v="39"/>
    <x v="2"/>
    <n v="1"/>
    <n v="30"/>
    <x v="2"/>
    <x v="5"/>
    <x v="2"/>
    <x v="1"/>
  </r>
  <r>
    <n v="660"/>
    <d v="2023-04-29T00:00:00"/>
    <s v="CUST660"/>
    <x v="1"/>
    <n v="38"/>
    <x v="0"/>
    <n v="2"/>
    <n v="500"/>
    <x v="1"/>
    <x v="4"/>
    <x v="2"/>
    <x v="2"/>
  </r>
  <r>
    <n v="661"/>
    <d v="2023-07-16T00:00:00"/>
    <s v="CUST661"/>
    <x v="1"/>
    <n v="44"/>
    <x v="1"/>
    <n v="4"/>
    <n v="25"/>
    <x v="4"/>
    <x v="11"/>
    <x v="2"/>
    <x v="3"/>
  </r>
  <r>
    <n v="662"/>
    <d v="2023-12-22T00:00:00"/>
    <s v="CUST662"/>
    <x v="0"/>
    <n v="48"/>
    <x v="0"/>
    <n v="2"/>
    <n v="500"/>
    <x v="1"/>
    <x v="6"/>
    <x v="1"/>
    <x v="0"/>
  </r>
  <r>
    <n v="663"/>
    <d v="2023-03-20T00:00:00"/>
    <s v="CUST663"/>
    <x v="0"/>
    <n v="23"/>
    <x v="1"/>
    <n v="4"/>
    <n v="300"/>
    <x v="14"/>
    <x v="5"/>
    <x v="4"/>
    <x v="1"/>
  </r>
  <r>
    <n v="664"/>
    <d v="2023-12-28T00:00:00"/>
    <s v="CUST664"/>
    <x v="1"/>
    <n v="44"/>
    <x v="1"/>
    <n v="4"/>
    <n v="500"/>
    <x v="11"/>
    <x v="6"/>
    <x v="2"/>
    <x v="0"/>
  </r>
  <r>
    <n v="665"/>
    <d v="2023-04-20T00:00:00"/>
    <s v="CUST665"/>
    <x v="0"/>
    <n v="57"/>
    <x v="1"/>
    <n v="1"/>
    <n v="50"/>
    <x v="5"/>
    <x v="4"/>
    <x v="3"/>
    <x v="2"/>
  </r>
  <r>
    <n v="666"/>
    <d v="2023-02-02T00:00:00"/>
    <s v="CUST666"/>
    <x v="0"/>
    <n v="51"/>
    <x v="2"/>
    <n v="3"/>
    <n v="50"/>
    <x v="0"/>
    <x v="1"/>
    <x v="1"/>
    <x v="1"/>
  </r>
  <r>
    <n v="667"/>
    <d v="2023-08-01T00:00:00"/>
    <s v="CUST667"/>
    <x v="1"/>
    <n v="29"/>
    <x v="2"/>
    <n v="1"/>
    <n v="500"/>
    <x v="3"/>
    <x v="8"/>
    <x v="0"/>
    <x v="3"/>
  </r>
  <r>
    <n v="668"/>
    <d v="2023-07-28T00:00:00"/>
    <s v="CUST668"/>
    <x v="1"/>
    <n v="62"/>
    <x v="2"/>
    <n v="3"/>
    <n v="50"/>
    <x v="0"/>
    <x v="11"/>
    <x v="3"/>
    <x v="3"/>
  </r>
  <r>
    <n v="669"/>
    <d v="2023-06-19T00:00:00"/>
    <s v="CUST669"/>
    <x v="0"/>
    <n v="24"/>
    <x v="0"/>
    <n v="4"/>
    <n v="300"/>
    <x v="14"/>
    <x v="10"/>
    <x v="4"/>
    <x v="2"/>
  </r>
  <r>
    <n v="670"/>
    <d v="2023-10-05T00:00:00"/>
    <s v="CUST670"/>
    <x v="0"/>
    <n v="27"/>
    <x v="0"/>
    <n v="1"/>
    <n v="30"/>
    <x v="2"/>
    <x v="7"/>
    <x v="0"/>
    <x v="0"/>
  </r>
  <r>
    <n v="671"/>
    <d v="2023-08-27T00:00:00"/>
    <s v="CUST671"/>
    <x v="0"/>
    <n v="62"/>
    <x v="2"/>
    <n v="3"/>
    <n v="50"/>
    <x v="0"/>
    <x v="8"/>
    <x v="3"/>
    <x v="3"/>
  </r>
  <r>
    <n v="672"/>
    <d v="2023-08-01T00:00:00"/>
    <s v="CUST672"/>
    <x v="1"/>
    <n v="34"/>
    <x v="0"/>
    <n v="2"/>
    <n v="50"/>
    <x v="4"/>
    <x v="8"/>
    <x v="0"/>
    <x v="3"/>
  </r>
  <r>
    <n v="673"/>
    <d v="2023-02-01T00:00:00"/>
    <s v="CUST673"/>
    <x v="1"/>
    <n v="43"/>
    <x v="1"/>
    <n v="3"/>
    <n v="500"/>
    <x v="9"/>
    <x v="1"/>
    <x v="2"/>
    <x v="1"/>
  </r>
  <r>
    <n v="674"/>
    <d v="2023-04-16T00:00:00"/>
    <s v="CUST674"/>
    <x v="1"/>
    <n v="38"/>
    <x v="1"/>
    <n v="1"/>
    <n v="300"/>
    <x v="13"/>
    <x v="4"/>
    <x v="2"/>
    <x v="2"/>
  </r>
  <r>
    <n v="675"/>
    <d v="2023-08-04T00:00:00"/>
    <s v="CUST675"/>
    <x v="1"/>
    <n v="45"/>
    <x v="1"/>
    <n v="2"/>
    <n v="30"/>
    <x v="17"/>
    <x v="8"/>
    <x v="1"/>
    <x v="3"/>
  </r>
  <r>
    <n v="676"/>
    <d v="2023-07-19T00:00:00"/>
    <s v="CUST676"/>
    <x v="0"/>
    <n v="63"/>
    <x v="2"/>
    <n v="3"/>
    <n v="500"/>
    <x v="9"/>
    <x v="11"/>
    <x v="3"/>
    <x v="3"/>
  </r>
  <r>
    <n v="677"/>
    <d v="2023-10-27T00:00:00"/>
    <s v="CUST677"/>
    <x v="1"/>
    <n v="19"/>
    <x v="0"/>
    <n v="3"/>
    <n v="500"/>
    <x v="9"/>
    <x v="7"/>
    <x v="4"/>
    <x v="0"/>
  </r>
  <r>
    <n v="678"/>
    <d v="2023-12-23T00:00:00"/>
    <s v="CUST678"/>
    <x v="1"/>
    <n v="60"/>
    <x v="2"/>
    <n v="3"/>
    <n v="300"/>
    <x v="12"/>
    <x v="6"/>
    <x v="3"/>
    <x v="0"/>
  </r>
  <r>
    <n v="679"/>
    <d v="2023-01-11T00:00:00"/>
    <s v="CUST679"/>
    <x v="1"/>
    <n v="18"/>
    <x v="0"/>
    <n v="3"/>
    <n v="30"/>
    <x v="15"/>
    <x v="2"/>
    <x v="4"/>
    <x v="1"/>
  </r>
  <r>
    <n v="680"/>
    <d v="2023-10-22T00:00:00"/>
    <s v="CUST680"/>
    <x v="1"/>
    <n v="53"/>
    <x v="1"/>
    <n v="3"/>
    <n v="300"/>
    <x v="12"/>
    <x v="7"/>
    <x v="1"/>
    <x v="0"/>
  </r>
  <r>
    <n v="681"/>
    <d v="2023-07-14T00:00:00"/>
    <s v="CUST681"/>
    <x v="1"/>
    <n v="43"/>
    <x v="2"/>
    <n v="2"/>
    <n v="30"/>
    <x v="17"/>
    <x v="11"/>
    <x v="2"/>
    <x v="3"/>
  </r>
  <r>
    <n v="682"/>
    <d v="2023-09-02T00:00:00"/>
    <s v="CUST682"/>
    <x v="0"/>
    <n v="46"/>
    <x v="0"/>
    <n v="4"/>
    <n v="300"/>
    <x v="14"/>
    <x v="9"/>
    <x v="1"/>
    <x v="3"/>
  </r>
  <r>
    <n v="683"/>
    <d v="2023-01-04T00:00:00"/>
    <s v="CUST683"/>
    <x v="0"/>
    <n v="38"/>
    <x v="0"/>
    <n v="2"/>
    <n v="500"/>
    <x v="1"/>
    <x v="2"/>
    <x v="2"/>
    <x v="1"/>
  </r>
  <r>
    <n v="684"/>
    <d v="2023-06-30T00:00:00"/>
    <s v="CUST684"/>
    <x v="1"/>
    <n v="28"/>
    <x v="1"/>
    <n v="2"/>
    <n v="500"/>
    <x v="1"/>
    <x v="10"/>
    <x v="0"/>
    <x v="2"/>
  </r>
  <r>
    <n v="685"/>
    <d v="2023-06-02T00:00:00"/>
    <s v="CUST685"/>
    <x v="0"/>
    <n v="57"/>
    <x v="2"/>
    <n v="2"/>
    <n v="25"/>
    <x v="5"/>
    <x v="10"/>
    <x v="3"/>
    <x v="2"/>
  </r>
  <r>
    <n v="686"/>
    <d v="2023-07-19T00:00:00"/>
    <s v="CUST686"/>
    <x v="1"/>
    <n v="28"/>
    <x v="2"/>
    <n v="4"/>
    <n v="50"/>
    <x v="7"/>
    <x v="11"/>
    <x v="0"/>
    <x v="3"/>
  </r>
  <r>
    <n v="687"/>
    <d v="2023-08-03T00:00:00"/>
    <s v="CUST687"/>
    <x v="1"/>
    <n v="53"/>
    <x v="2"/>
    <n v="1"/>
    <n v="300"/>
    <x v="13"/>
    <x v="8"/>
    <x v="1"/>
    <x v="3"/>
  </r>
  <r>
    <n v="688"/>
    <d v="2023-10-03T00:00:00"/>
    <s v="CUST688"/>
    <x v="0"/>
    <n v="56"/>
    <x v="1"/>
    <n v="4"/>
    <n v="25"/>
    <x v="4"/>
    <x v="7"/>
    <x v="3"/>
    <x v="0"/>
  </r>
  <r>
    <n v="689"/>
    <d v="2023-10-07T00:00:00"/>
    <s v="CUST689"/>
    <x v="0"/>
    <n v="57"/>
    <x v="2"/>
    <n v="2"/>
    <n v="50"/>
    <x v="4"/>
    <x v="7"/>
    <x v="3"/>
    <x v="0"/>
  </r>
  <r>
    <n v="690"/>
    <d v="2023-11-05T00:00:00"/>
    <s v="CUST690"/>
    <x v="1"/>
    <n v="52"/>
    <x v="1"/>
    <n v="3"/>
    <n v="300"/>
    <x v="12"/>
    <x v="0"/>
    <x v="1"/>
    <x v="0"/>
  </r>
  <r>
    <n v="691"/>
    <d v="2023-04-23T00:00:00"/>
    <s v="CUST691"/>
    <x v="1"/>
    <n v="51"/>
    <x v="1"/>
    <n v="3"/>
    <n v="30"/>
    <x v="15"/>
    <x v="4"/>
    <x v="1"/>
    <x v="2"/>
  </r>
  <r>
    <n v="692"/>
    <d v="2023-09-07T00:00:00"/>
    <s v="CUST692"/>
    <x v="1"/>
    <n v="64"/>
    <x v="1"/>
    <n v="2"/>
    <n v="50"/>
    <x v="4"/>
    <x v="9"/>
    <x v="3"/>
    <x v="3"/>
  </r>
  <r>
    <n v="693"/>
    <d v="2023-04-23T00:00:00"/>
    <s v="CUST693"/>
    <x v="0"/>
    <n v="41"/>
    <x v="0"/>
    <n v="3"/>
    <n v="500"/>
    <x v="9"/>
    <x v="4"/>
    <x v="2"/>
    <x v="2"/>
  </r>
  <r>
    <n v="694"/>
    <d v="2023-05-20T00:00:00"/>
    <s v="CUST694"/>
    <x v="1"/>
    <n v="39"/>
    <x v="2"/>
    <n v="2"/>
    <n v="25"/>
    <x v="5"/>
    <x v="3"/>
    <x v="2"/>
    <x v="2"/>
  </r>
  <r>
    <n v="695"/>
    <d v="2023-08-12T00:00:00"/>
    <s v="CUST695"/>
    <x v="1"/>
    <n v="22"/>
    <x v="2"/>
    <n v="3"/>
    <n v="50"/>
    <x v="0"/>
    <x v="8"/>
    <x v="4"/>
    <x v="3"/>
  </r>
  <r>
    <n v="696"/>
    <d v="2023-09-06T00:00:00"/>
    <s v="CUST696"/>
    <x v="1"/>
    <n v="50"/>
    <x v="1"/>
    <n v="4"/>
    <n v="50"/>
    <x v="7"/>
    <x v="9"/>
    <x v="1"/>
    <x v="3"/>
  </r>
  <r>
    <n v="697"/>
    <d v="2023-01-15T00:00:00"/>
    <s v="CUST697"/>
    <x v="0"/>
    <n v="53"/>
    <x v="1"/>
    <n v="1"/>
    <n v="500"/>
    <x v="3"/>
    <x v="2"/>
    <x v="1"/>
    <x v="1"/>
  </r>
  <r>
    <n v="698"/>
    <d v="2023-07-19T00:00:00"/>
    <s v="CUST698"/>
    <x v="1"/>
    <n v="64"/>
    <x v="2"/>
    <n v="1"/>
    <n v="300"/>
    <x v="13"/>
    <x v="11"/>
    <x v="3"/>
    <x v="3"/>
  </r>
  <r>
    <n v="699"/>
    <d v="2023-06-22T00:00:00"/>
    <s v="CUST699"/>
    <x v="1"/>
    <n v="37"/>
    <x v="1"/>
    <n v="4"/>
    <n v="30"/>
    <x v="10"/>
    <x v="10"/>
    <x v="2"/>
    <x v="2"/>
  </r>
  <r>
    <n v="700"/>
    <d v="2023-12-09T00:00:00"/>
    <s v="CUST700"/>
    <x v="0"/>
    <n v="36"/>
    <x v="2"/>
    <n v="4"/>
    <n v="500"/>
    <x v="11"/>
    <x v="6"/>
    <x v="2"/>
    <x v="0"/>
  </r>
  <r>
    <n v="701"/>
    <d v="2023-12-14T00:00:00"/>
    <s v="CUST701"/>
    <x v="1"/>
    <n v="52"/>
    <x v="0"/>
    <n v="2"/>
    <n v="30"/>
    <x v="17"/>
    <x v="6"/>
    <x v="1"/>
    <x v="0"/>
  </r>
  <r>
    <n v="702"/>
    <d v="2023-07-27T00:00:00"/>
    <s v="CUST702"/>
    <x v="1"/>
    <n v="60"/>
    <x v="1"/>
    <n v="2"/>
    <n v="300"/>
    <x v="6"/>
    <x v="11"/>
    <x v="3"/>
    <x v="3"/>
  </r>
  <r>
    <n v="703"/>
    <d v="2023-03-26T00:00:00"/>
    <s v="CUST703"/>
    <x v="0"/>
    <n v="34"/>
    <x v="2"/>
    <n v="2"/>
    <n v="50"/>
    <x v="4"/>
    <x v="5"/>
    <x v="0"/>
    <x v="1"/>
  </r>
  <r>
    <n v="704"/>
    <d v="2023-08-28T00:00:00"/>
    <s v="CUST704"/>
    <x v="1"/>
    <n v="62"/>
    <x v="1"/>
    <n v="3"/>
    <n v="30"/>
    <x v="15"/>
    <x v="8"/>
    <x v="3"/>
    <x v="3"/>
  </r>
  <r>
    <n v="705"/>
    <d v="2023-03-07T00:00:00"/>
    <s v="CUST705"/>
    <x v="0"/>
    <n v="60"/>
    <x v="2"/>
    <n v="2"/>
    <n v="25"/>
    <x v="5"/>
    <x v="5"/>
    <x v="3"/>
    <x v="1"/>
  </r>
  <r>
    <n v="706"/>
    <d v="2023-11-15T00:00:00"/>
    <s v="CUST706"/>
    <x v="0"/>
    <n v="51"/>
    <x v="2"/>
    <n v="4"/>
    <n v="25"/>
    <x v="4"/>
    <x v="0"/>
    <x v="1"/>
    <x v="0"/>
  </r>
  <r>
    <n v="707"/>
    <d v="2023-10-01T00:00:00"/>
    <s v="CUST707"/>
    <x v="1"/>
    <n v="26"/>
    <x v="1"/>
    <n v="1"/>
    <n v="500"/>
    <x v="3"/>
    <x v="7"/>
    <x v="0"/>
    <x v="0"/>
  </r>
  <r>
    <n v="708"/>
    <d v="2023-01-14T00:00:00"/>
    <s v="CUST708"/>
    <x v="1"/>
    <n v="43"/>
    <x v="0"/>
    <n v="3"/>
    <n v="300"/>
    <x v="12"/>
    <x v="2"/>
    <x v="2"/>
    <x v="1"/>
  </r>
  <r>
    <n v="709"/>
    <d v="2023-07-21T00:00:00"/>
    <s v="CUST709"/>
    <x v="1"/>
    <n v="19"/>
    <x v="2"/>
    <n v="2"/>
    <n v="500"/>
    <x v="1"/>
    <x v="11"/>
    <x v="4"/>
    <x v="3"/>
  </r>
  <r>
    <n v="710"/>
    <d v="2023-10-31T00:00:00"/>
    <s v="CUST710"/>
    <x v="1"/>
    <n v="26"/>
    <x v="2"/>
    <n v="3"/>
    <n v="500"/>
    <x v="9"/>
    <x v="7"/>
    <x v="0"/>
    <x v="0"/>
  </r>
  <r>
    <n v="711"/>
    <d v="2023-10-16T00:00:00"/>
    <s v="CUST711"/>
    <x v="0"/>
    <n v="26"/>
    <x v="2"/>
    <n v="3"/>
    <n v="500"/>
    <x v="9"/>
    <x v="7"/>
    <x v="0"/>
    <x v="0"/>
  </r>
  <r>
    <n v="712"/>
    <d v="2023-12-06T00:00:00"/>
    <s v="CUST712"/>
    <x v="1"/>
    <n v="57"/>
    <x v="0"/>
    <n v="2"/>
    <n v="25"/>
    <x v="5"/>
    <x v="6"/>
    <x v="3"/>
    <x v="0"/>
  </r>
  <r>
    <n v="713"/>
    <d v="2023-01-14T00:00:00"/>
    <s v="CUST713"/>
    <x v="0"/>
    <n v="34"/>
    <x v="0"/>
    <n v="3"/>
    <n v="25"/>
    <x v="8"/>
    <x v="2"/>
    <x v="0"/>
    <x v="1"/>
  </r>
  <r>
    <n v="714"/>
    <d v="2023-02-12T00:00:00"/>
    <s v="CUST714"/>
    <x v="1"/>
    <n v="18"/>
    <x v="1"/>
    <n v="1"/>
    <n v="500"/>
    <x v="3"/>
    <x v="1"/>
    <x v="4"/>
    <x v="1"/>
  </r>
  <r>
    <n v="715"/>
    <d v="2023-11-26T00:00:00"/>
    <s v="CUST715"/>
    <x v="1"/>
    <n v="42"/>
    <x v="0"/>
    <n v="4"/>
    <n v="25"/>
    <x v="4"/>
    <x v="0"/>
    <x v="2"/>
    <x v="0"/>
  </r>
  <r>
    <n v="716"/>
    <d v="2023-08-08T00:00:00"/>
    <s v="CUST716"/>
    <x v="1"/>
    <n v="60"/>
    <x v="1"/>
    <n v="4"/>
    <n v="300"/>
    <x v="14"/>
    <x v="8"/>
    <x v="3"/>
    <x v="3"/>
  </r>
  <r>
    <n v="717"/>
    <d v="2023-03-11T00:00:00"/>
    <s v="CUST717"/>
    <x v="0"/>
    <n v="57"/>
    <x v="1"/>
    <n v="1"/>
    <n v="500"/>
    <x v="3"/>
    <x v="5"/>
    <x v="3"/>
    <x v="1"/>
  </r>
  <r>
    <n v="718"/>
    <d v="2023-08-25T00:00:00"/>
    <s v="CUST718"/>
    <x v="1"/>
    <n v="59"/>
    <x v="0"/>
    <n v="3"/>
    <n v="25"/>
    <x v="8"/>
    <x v="8"/>
    <x v="3"/>
    <x v="3"/>
  </r>
  <r>
    <n v="719"/>
    <d v="2023-04-04T00:00:00"/>
    <s v="CUST719"/>
    <x v="1"/>
    <n v="42"/>
    <x v="1"/>
    <n v="2"/>
    <n v="30"/>
    <x v="17"/>
    <x v="4"/>
    <x v="2"/>
    <x v="2"/>
  </r>
  <r>
    <n v="720"/>
    <d v="2023-01-26T00:00:00"/>
    <s v="CUST720"/>
    <x v="1"/>
    <n v="56"/>
    <x v="0"/>
    <n v="3"/>
    <n v="500"/>
    <x v="9"/>
    <x v="2"/>
    <x v="3"/>
    <x v="1"/>
  </r>
  <r>
    <n v="721"/>
    <d v="2023-05-14T00:00:00"/>
    <s v="CUST721"/>
    <x v="1"/>
    <n v="52"/>
    <x v="1"/>
    <n v="1"/>
    <n v="500"/>
    <x v="3"/>
    <x v="3"/>
    <x v="1"/>
    <x v="2"/>
  </r>
  <r>
    <n v="722"/>
    <d v="2023-07-14T00:00:00"/>
    <s v="CUST722"/>
    <x v="0"/>
    <n v="20"/>
    <x v="0"/>
    <n v="3"/>
    <n v="300"/>
    <x v="12"/>
    <x v="11"/>
    <x v="4"/>
    <x v="3"/>
  </r>
  <r>
    <n v="723"/>
    <d v="2023-06-17T00:00:00"/>
    <s v="CUST723"/>
    <x v="1"/>
    <n v="54"/>
    <x v="0"/>
    <n v="4"/>
    <n v="50"/>
    <x v="7"/>
    <x v="10"/>
    <x v="1"/>
    <x v="2"/>
  </r>
  <r>
    <n v="724"/>
    <d v="2023-04-19T00:00:00"/>
    <s v="CUST724"/>
    <x v="0"/>
    <n v="61"/>
    <x v="1"/>
    <n v="3"/>
    <n v="50"/>
    <x v="0"/>
    <x v="4"/>
    <x v="3"/>
    <x v="2"/>
  </r>
  <r>
    <n v="725"/>
    <d v="2023-08-21T00:00:00"/>
    <s v="CUST725"/>
    <x v="0"/>
    <n v="61"/>
    <x v="2"/>
    <n v="1"/>
    <n v="300"/>
    <x v="13"/>
    <x v="8"/>
    <x v="3"/>
    <x v="3"/>
  </r>
  <r>
    <n v="726"/>
    <d v="2023-06-17T00:00:00"/>
    <s v="CUST726"/>
    <x v="0"/>
    <n v="47"/>
    <x v="1"/>
    <n v="4"/>
    <n v="300"/>
    <x v="14"/>
    <x v="10"/>
    <x v="1"/>
    <x v="2"/>
  </r>
  <r>
    <n v="727"/>
    <d v="2023-06-22T00:00:00"/>
    <s v="CUST727"/>
    <x v="0"/>
    <n v="55"/>
    <x v="0"/>
    <n v="3"/>
    <n v="300"/>
    <x v="12"/>
    <x v="10"/>
    <x v="3"/>
    <x v="2"/>
  </r>
  <r>
    <n v="728"/>
    <d v="2023-07-14T00:00:00"/>
    <s v="CUST728"/>
    <x v="0"/>
    <n v="51"/>
    <x v="2"/>
    <n v="3"/>
    <n v="50"/>
    <x v="0"/>
    <x v="11"/>
    <x v="1"/>
    <x v="3"/>
  </r>
  <r>
    <n v="729"/>
    <d v="2023-05-23T00:00:00"/>
    <s v="CUST729"/>
    <x v="0"/>
    <n v="29"/>
    <x v="1"/>
    <n v="4"/>
    <n v="300"/>
    <x v="14"/>
    <x v="3"/>
    <x v="0"/>
    <x v="2"/>
  </r>
  <r>
    <n v="730"/>
    <d v="2023-08-04T00:00:00"/>
    <s v="CUST730"/>
    <x v="1"/>
    <n v="36"/>
    <x v="1"/>
    <n v="2"/>
    <n v="25"/>
    <x v="5"/>
    <x v="8"/>
    <x v="2"/>
    <x v="3"/>
  </r>
  <r>
    <n v="731"/>
    <d v="2023-05-10T00:00:00"/>
    <s v="CUST731"/>
    <x v="0"/>
    <n v="54"/>
    <x v="1"/>
    <n v="4"/>
    <n v="500"/>
    <x v="11"/>
    <x v="3"/>
    <x v="1"/>
    <x v="2"/>
  </r>
  <r>
    <n v="732"/>
    <d v="2023-02-11T00:00:00"/>
    <s v="CUST732"/>
    <x v="0"/>
    <n v="61"/>
    <x v="2"/>
    <n v="2"/>
    <n v="500"/>
    <x v="1"/>
    <x v="1"/>
    <x v="3"/>
    <x v="1"/>
  </r>
  <r>
    <n v="733"/>
    <d v="2023-08-29T00:00:00"/>
    <s v="CUST733"/>
    <x v="0"/>
    <n v="34"/>
    <x v="0"/>
    <n v="1"/>
    <n v="30"/>
    <x v="2"/>
    <x v="8"/>
    <x v="0"/>
    <x v="3"/>
  </r>
  <r>
    <n v="734"/>
    <d v="2023-01-10T00:00:00"/>
    <s v="CUST734"/>
    <x v="1"/>
    <n v="27"/>
    <x v="1"/>
    <n v="1"/>
    <n v="30"/>
    <x v="2"/>
    <x v="2"/>
    <x v="0"/>
    <x v="1"/>
  </r>
  <r>
    <n v="735"/>
    <d v="2023-10-04T00:00:00"/>
    <s v="CUST735"/>
    <x v="1"/>
    <n v="64"/>
    <x v="1"/>
    <n v="4"/>
    <n v="500"/>
    <x v="11"/>
    <x v="7"/>
    <x v="3"/>
    <x v="0"/>
  </r>
  <r>
    <n v="736"/>
    <d v="2023-01-27T00:00:00"/>
    <s v="CUST736"/>
    <x v="0"/>
    <n v="29"/>
    <x v="1"/>
    <n v="4"/>
    <n v="25"/>
    <x v="4"/>
    <x v="2"/>
    <x v="0"/>
    <x v="1"/>
  </r>
  <r>
    <n v="737"/>
    <d v="2023-06-29T00:00:00"/>
    <s v="CUST737"/>
    <x v="1"/>
    <n v="33"/>
    <x v="1"/>
    <n v="1"/>
    <n v="50"/>
    <x v="5"/>
    <x v="10"/>
    <x v="0"/>
    <x v="2"/>
  </r>
  <r>
    <n v="738"/>
    <d v="2023-04-25T00:00:00"/>
    <s v="CUST738"/>
    <x v="0"/>
    <n v="41"/>
    <x v="1"/>
    <n v="2"/>
    <n v="50"/>
    <x v="4"/>
    <x v="4"/>
    <x v="2"/>
    <x v="2"/>
  </r>
  <r>
    <n v="739"/>
    <d v="2023-11-29T00:00:00"/>
    <s v="CUST739"/>
    <x v="0"/>
    <n v="36"/>
    <x v="0"/>
    <n v="1"/>
    <n v="25"/>
    <x v="16"/>
    <x v="0"/>
    <x v="2"/>
    <x v="0"/>
  </r>
  <r>
    <n v="740"/>
    <d v="2023-02-05T00:00:00"/>
    <s v="CUST740"/>
    <x v="1"/>
    <n v="25"/>
    <x v="0"/>
    <n v="4"/>
    <n v="50"/>
    <x v="7"/>
    <x v="1"/>
    <x v="0"/>
    <x v="1"/>
  </r>
  <r>
    <n v="741"/>
    <d v="2023-11-30T00:00:00"/>
    <s v="CUST741"/>
    <x v="0"/>
    <n v="48"/>
    <x v="1"/>
    <n v="1"/>
    <n v="300"/>
    <x v="13"/>
    <x v="0"/>
    <x v="1"/>
    <x v="0"/>
  </r>
  <r>
    <n v="742"/>
    <d v="2023-01-21T00:00:00"/>
    <s v="CUST742"/>
    <x v="1"/>
    <n v="38"/>
    <x v="2"/>
    <n v="4"/>
    <n v="500"/>
    <x v="11"/>
    <x v="2"/>
    <x v="2"/>
    <x v="1"/>
  </r>
  <r>
    <n v="743"/>
    <d v="2023-01-16T00:00:00"/>
    <s v="CUST743"/>
    <x v="1"/>
    <n v="34"/>
    <x v="0"/>
    <n v="4"/>
    <n v="500"/>
    <x v="11"/>
    <x v="2"/>
    <x v="0"/>
    <x v="1"/>
  </r>
  <r>
    <n v="744"/>
    <d v="2023-05-07T00:00:00"/>
    <s v="CUST744"/>
    <x v="0"/>
    <n v="40"/>
    <x v="2"/>
    <n v="1"/>
    <n v="25"/>
    <x v="16"/>
    <x v="3"/>
    <x v="2"/>
    <x v="2"/>
  </r>
  <r>
    <n v="745"/>
    <d v="2023-04-13T00:00:00"/>
    <s v="CUST745"/>
    <x v="0"/>
    <n v="54"/>
    <x v="0"/>
    <n v="2"/>
    <n v="50"/>
    <x v="4"/>
    <x v="4"/>
    <x v="1"/>
    <x v="2"/>
  </r>
  <r>
    <n v="746"/>
    <d v="2023-01-11T00:00:00"/>
    <s v="CUST746"/>
    <x v="1"/>
    <n v="33"/>
    <x v="1"/>
    <n v="3"/>
    <n v="30"/>
    <x v="15"/>
    <x v="2"/>
    <x v="0"/>
    <x v="1"/>
  </r>
  <r>
    <n v="747"/>
    <d v="2023-11-15T00:00:00"/>
    <s v="CUST747"/>
    <x v="0"/>
    <n v="23"/>
    <x v="0"/>
    <n v="1"/>
    <n v="30"/>
    <x v="2"/>
    <x v="0"/>
    <x v="4"/>
    <x v="0"/>
  </r>
  <r>
    <n v="748"/>
    <d v="2023-03-20T00:00:00"/>
    <s v="CUST748"/>
    <x v="0"/>
    <n v="25"/>
    <x v="1"/>
    <n v="3"/>
    <n v="50"/>
    <x v="0"/>
    <x v="5"/>
    <x v="0"/>
    <x v="1"/>
  </r>
  <r>
    <n v="749"/>
    <d v="2023-05-03T00:00:00"/>
    <s v="CUST749"/>
    <x v="0"/>
    <n v="42"/>
    <x v="0"/>
    <n v="1"/>
    <n v="30"/>
    <x v="2"/>
    <x v="3"/>
    <x v="2"/>
    <x v="2"/>
  </r>
  <r>
    <n v="750"/>
    <d v="2023-03-06T00:00:00"/>
    <s v="CUST750"/>
    <x v="1"/>
    <n v="35"/>
    <x v="1"/>
    <n v="3"/>
    <n v="25"/>
    <x v="8"/>
    <x v="5"/>
    <x v="2"/>
    <x v="1"/>
  </r>
  <r>
    <n v="751"/>
    <d v="2023-08-31T00:00:00"/>
    <s v="CUST751"/>
    <x v="1"/>
    <n v="42"/>
    <x v="1"/>
    <n v="2"/>
    <n v="25"/>
    <x v="5"/>
    <x v="8"/>
    <x v="2"/>
    <x v="3"/>
  </r>
  <r>
    <n v="752"/>
    <d v="2023-12-09T00:00:00"/>
    <s v="CUST752"/>
    <x v="0"/>
    <n v="29"/>
    <x v="1"/>
    <n v="2"/>
    <n v="50"/>
    <x v="4"/>
    <x v="6"/>
    <x v="0"/>
    <x v="0"/>
  </r>
  <r>
    <n v="753"/>
    <d v="2023-02-28T00:00:00"/>
    <s v="CUST753"/>
    <x v="1"/>
    <n v="32"/>
    <x v="1"/>
    <n v="1"/>
    <n v="30"/>
    <x v="2"/>
    <x v="1"/>
    <x v="0"/>
    <x v="1"/>
  </r>
  <r>
    <n v="754"/>
    <d v="2023-10-16T00:00:00"/>
    <s v="CUST754"/>
    <x v="1"/>
    <n v="43"/>
    <x v="2"/>
    <n v="4"/>
    <n v="25"/>
    <x v="4"/>
    <x v="7"/>
    <x v="2"/>
    <x v="0"/>
  </r>
  <r>
    <n v="755"/>
    <d v="2023-04-22T00:00:00"/>
    <s v="CUST755"/>
    <x v="1"/>
    <n v="58"/>
    <x v="1"/>
    <n v="3"/>
    <n v="25"/>
    <x v="8"/>
    <x v="4"/>
    <x v="3"/>
    <x v="2"/>
  </r>
  <r>
    <n v="756"/>
    <d v="2023-08-27T00:00:00"/>
    <s v="CUST756"/>
    <x v="1"/>
    <n v="62"/>
    <x v="2"/>
    <n v="4"/>
    <n v="300"/>
    <x v="14"/>
    <x v="8"/>
    <x v="3"/>
    <x v="3"/>
  </r>
  <r>
    <n v="757"/>
    <d v="2023-12-25T00:00:00"/>
    <s v="CUST757"/>
    <x v="1"/>
    <n v="43"/>
    <x v="2"/>
    <n v="4"/>
    <n v="300"/>
    <x v="14"/>
    <x v="6"/>
    <x v="2"/>
    <x v="0"/>
  </r>
  <r>
    <n v="758"/>
    <d v="2023-05-12T00:00:00"/>
    <s v="CUST758"/>
    <x v="0"/>
    <n v="64"/>
    <x v="1"/>
    <n v="4"/>
    <n v="25"/>
    <x v="4"/>
    <x v="3"/>
    <x v="3"/>
    <x v="2"/>
  </r>
  <r>
    <n v="759"/>
    <d v="2023-07-08T00:00:00"/>
    <s v="CUST759"/>
    <x v="0"/>
    <n v="49"/>
    <x v="2"/>
    <n v="2"/>
    <n v="50"/>
    <x v="4"/>
    <x v="11"/>
    <x v="1"/>
    <x v="3"/>
  </r>
  <r>
    <n v="760"/>
    <d v="2023-03-27T00:00:00"/>
    <s v="CUST760"/>
    <x v="0"/>
    <n v="27"/>
    <x v="0"/>
    <n v="1"/>
    <n v="500"/>
    <x v="3"/>
    <x v="5"/>
    <x v="0"/>
    <x v="1"/>
  </r>
  <r>
    <n v="761"/>
    <d v="2023-11-07T00:00:00"/>
    <s v="CUST761"/>
    <x v="1"/>
    <n v="33"/>
    <x v="1"/>
    <n v="1"/>
    <n v="500"/>
    <x v="3"/>
    <x v="0"/>
    <x v="0"/>
    <x v="0"/>
  </r>
  <r>
    <n v="762"/>
    <d v="2023-11-07T00:00:00"/>
    <s v="CUST762"/>
    <x v="1"/>
    <n v="24"/>
    <x v="2"/>
    <n v="2"/>
    <n v="25"/>
    <x v="5"/>
    <x v="0"/>
    <x v="4"/>
    <x v="0"/>
  </r>
  <r>
    <n v="763"/>
    <d v="2023-02-28T00:00:00"/>
    <s v="CUST763"/>
    <x v="0"/>
    <n v="34"/>
    <x v="1"/>
    <n v="2"/>
    <n v="25"/>
    <x v="5"/>
    <x v="1"/>
    <x v="0"/>
    <x v="1"/>
  </r>
  <r>
    <n v="764"/>
    <d v="2023-03-25T00:00:00"/>
    <s v="CUST764"/>
    <x v="1"/>
    <n v="40"/>
    <x v="1"/>
    <n v="1"/>
    <n v="25"/>
    <x v="16"/>
    <x v="5"/>
    <x v="2"/>
    <x v="1"/>
  </r>
  <r>
    <n v="765"/>
    <d v="2023-06-09T00:00:00"/>
    <s v="CUST765"/>
    <x v="0"/>
    <n v="43"/>
    <x v="1"/>
    <n v="4"/>
    <n v="50"/>
    <x v="7"/>
    <x v="10"/>
    <x v="2"/>
    <x v="2"/>
  </r>
  <r>
    <n v="766"/>
    <d v="2023-02-25T00:00:00"/>
    <s v="CUST766"/>
    <x v="0"/>
    <n v="38"/>
    <x v="2"/>
    <n v="3"/>
    <n v="300"/>
    <x v="12"/>
    <x v="1"/>
    <x v="2"/>
    <x v="1"/>
  </r>
  <r>
    <n v="767"/>
    <d v="2023-10-24T00:00:00"/>
    <s v="CUST767"/>
    <x v="0"/>
    <n v="39"/>
    <x v="0"/>
    <n v="3"/>
    <n v="25"/>
    <x v="8"/>
    <x v="7"/>
    <x v="2"/>
    <x v="0"/>
  </r>
  <r>
    <n v="768"/>
    <d v="2023-01-14T00:00:00"/>
    <s v="CUST768"/>
    <x v="1"/>
    <n v="24"/>
    <x v="0"/>
    <n v="3"/>
    <n v="25"/>
    <x v="8"/>
    <x v="2"/>
    <x v="4"/>
    <x v="1"/>
  </r>
  <r>
    <n v="769"/>
    <d v="2023-06-09T00:00:00"/>
    <s v="CUST769"/>
    <x v="1"/>
    <n v="31"/>
    <x v="2"/>
    <n v="4"/>
    <n v="30"/>
    <x v="10"/>
    <x v="10"/>
    <x v="0"/>
    <x v="2"/>
  </r>
  <r>
    <n v="770"/>
    <d v="2023-10-22T00:00:00"/>
    <s v="CUST770"/>
    <x v="0"/>
    <n v="32"/>
    <x v="1"/>
    <n v="1"/>
    <n v="50"/>
    <x v="5"/>
    <x v="7"/>
    <x v="0"/>
    <x v="0"/>
  </r>
  <r>
    <n v="771"/>
    <d v="2023-12-13T00:00:00"/>
    <s v="CUST771"/>
    <x v="0"/>
    <n v="24"/>
    <x v="2"/>
    <n v="2"/>
    <n v="25"/>
    <x v="5"/>
    <x v="6"/>
    <x v="4"/>
    <x v="0"/>
  </r>
  <r>
    <n v="772"/>
    <d v="2023-07-12T00:00:00"/>
    <s v="CUST772"/>
    <x v="0"/>
    <n v="26"/>
    <x v="2"/>
    <n v="1"/>
    <n v="30"/>
    <x v="2"/>
    <x v="11"/>
    <x v="0"/>
    <x v="3"/>
  </r>
  <r>
    <n v="773"/>
    <d v="2023-07-23T00:00:00"/>
    <s v="CUST773"/>
    <x v="0"/>
    <n v="25"/>
    <x v="2"/>
    <n v="4"/>
    <n v="500"/>
    <x v="11"/>
    <x v="11"/>
    <x v="0"/>
    <x v="3"/>
  </r>
  <r>
    <n v="774"/>
    <d v="2023-04-12T00:00:00"/>
    <s v="CUST774"/>
    <x v="1"/>
    <n v="40"/>
    <x v="1"/>
    <n v="2"/>
    <n v="25"/>
    <x v="5"/>
    <x v="4"/>
    <x v="2"/>
    <x v="2"/>
  </r>
  <r>
    <n v="775"/>
    <d v="2023-02-08T00:00:00"/>
    <s v="CUST775"/>
    <x v="1"/>
    <n v="46"/>
    <x v="2"/>
    <n v="4"/>
    <n v="25"/>
    <x v="4"/>
    <x v="1"/>
    <x v="1"/>
    <x v="1"/>
  </r>
  <r>
    <n v="776"/>
    <d v="2023-10-31T00:00:00"/>
    <s v="CUST776"/>
    <x v="0"/>
    <n v="35"/>
    <x v="1"/>
    <n v="3"/>
    <n v="30"/>
    <x v="15"/>
    <x v="7"/>
    <x v="2"/>
    <x v="0"/>
  </r>
  <r>
    <n v="777"/>
    <d v="2023-12-20T00:00:00"/>
    <s v="CUST777"/>
    <x v="0"/>
    <n v="48"/>
    <x v="2"/>
    <n v="3"/>
    <n v="50"/>
    <x v="0"/>
    <x v="6"/>
    <x v="1"/>
    <x v="0"/>
  </r>
  <r>
    <n v="778"/>
    <d v="2023-11-18T00:00:00"/>
    <s v="CUST778"/>
    <x v="1"/>
    <n v="47"/>
    <x v="0"/>
    <n v="4"/>
    <n v="25"/>
    <x v="4"/>
    <x v="0"/>
    <x v="1"/>
    <x v="0"/>
  </r>
  <r>
    <n v="779"/>
    <d v="2023-05-05T00:00:00"/>
    <s v="CUST779"/>
    <x v="1"/>
    <n v="56"/>
    <x v="2"/>
    <n v="2"/>
    <n v="500"/>
    <x v="1"/>
    <x v="3"/>
    <x v="3"/>
    <x v="2"/>
  </r>
  <r>
    <n v="780"/>
    <d v="2023-02-22T00:00:00"/>
    <s v="CUST780"/>
    <x v="0"/>
    <n v="52"/>
    <x v="2"/>
    <n v="2"/>
    <n v="25"/>
    <x v="5"/>
    <x v="1"/>
    <x v="1"/>
    <x v="1"/>
  </r>
  <r>
    <n v="781"/>
    <d v="2023-12-23T00:00:00"/>
    <s v="CUST781"/>
    <x v="0"/>
    <n v="35"/>
    <x v="0"/>
    <n v="1"/>
    <n v="500"/>
    <x v="3"/>
    <x v="6"/>
    <x v="2"/>
    <x v="0"/>
  </r>
  <r>
    <n v="782"/>
    <d v="2023-06-04T00:00:00"/>
    <s v="CUST782"/>
    <x v="0"/>
    <n v="59"/>
    <x v="1"/>
    <n v="3"/>
    <n v="300"/>
    <x v="12"/>
    <x v="10"/>
    <x v="3"/>
    <x v="2"/>
  </r>
  <r>
    <n v="783"/>
    <d v="2023-12-17T00:00:00"/>
    <s v="CUST783"/>
    <x v="1"/>
    <n v="56"/>
    <x v="1"/>
    <n v="1"/>
    <n v="300"/>
    <x v="13"/>
    <x v="6"/>
    <x v="3"/>
    <x v="0"/>
  </r>
  <r>
    <n v="784"/>
    <d v="2023-11-04T00:00:00"/>
    <s v="CUST784"/>
    <x v="1"/>
    <n v="34"/>
    <x v="2"/>
    <n v="1"/>
    <n v="500"/>
    <x v="3"/>
    <x v="0"/>
    <x v="0"/>
    <x v="0"/>
  </r>
  <r>
    <n v="785"/>
    <d v="2023-03-03T00:00:00"/>
    <s v="CUST785"/>
    <x v="1"/>
    <n v="31"/>
    <x v="0"/>
    <n v="4"/>
    <n v="50"/>
    <x v="7"/>
    <x v="5"/>
    <x v="0"/>
    <x v="1"/>
  </r>
  <r>
    <n v="786"/>
    <d v="2023-10-17T00:00:00"/>
    <s v="CUST786"/>
    <x v="0"/>
    <n v="48"/>
    <x v="1"/>
    <n v="4"/>
    <n v="25"/>
    <x v="4"/>
    <x v="7"/>
    <x v="1"/>
    <x v="0"/>
  </r>
  <r>
    <n v="787"/>
    <d v="2023-01-22T00:00:00"/>
    <s v="CUST787"/>
    <x v="0"/>
    <n v="41"/>
    <x v="2"/>
    <n v="1"/>
    <n v="25"/>
    <x v="16"/>
    <x v="2"/>
    <x v="2"/>
    <x v="1"/>
  </r>
  <r>
    <n v="788"/>
    <d v="2023-06-27T00:00:00"/>
    <s v="CUST788"/>
    <x v="1"/>
    <n v="52"/>
    <x v="0"/>
    <n v="3"/>
    <n v="300"/>
    <x v="12"/>
    <x v="10"/>
    <x v="1"/>
    <x v="2"/>
  </r>
  <r>
    <n v="789"/>
    <d v="2023-09-30T00:00:00"/>
    <s v="CUST789"/>
    <x v="1"/>
    <n v="61"/>
    <x v="1"/>
    <n v="4"/>
    <n v="500"/>
    <x v="11"/>
    <x v="9"/>
    <x v="3"/>
    <x v="3"/>
  </r>
  <r>
    <n v="790"/>
    <d v="2023-08-08T00:00:00"/>
    <s v="CUST790"/>
    <x v="0"/>
    <n v="62"/>
    <x v="1"/>
    <n v="1"/>
    <n v="25"/>
    <x v="16"/>
    <x v="8"/>
    <x v="3"/>
    <x v="3"/>
  </r>
  <r>
    <n v="791"/>
    <d v="2023-12-05T00:00:00"/>
    <s v="CUST791"/>
    <x v="1"/>
    <n v="51"/>
    <x v="0"/>
    <n v="1"/>
    <n v="25"/>
    <x v="16"/>
    <x v="6"/>
    <x v="1"/>
    <x v="0"/>
  </r>
  <r>
    <n v="792"/>
    <d v="2023-07-09T00:00:00"/>
    <s v="CUST792"/>
    <x v="1"/>
    <n v="20"/>
    <x v="0"/>
    <n v="1"/>
    <n v="50"/>
    <x v="5"/>
    <x v="11"/>
    <x v="4"/>
    <x v="3"/>
  </r>
  <r>
    <n v="793"/>
    <d v="2023-02-05T00:00:00"/>
    <s v="CUST793"/>
    <x v="0"/>
    <n v="54"/>
    <x v="0"/>
    <n v="1"/>
    <n v="30"/>
    <x v="2"/>
    <x v="1"/>
    <x v="1"/>
    <x v="1"/>
  </r>
  <r>
    <n v="794"/>
    <d v="2023-09-17T00:00:00"/>
    <s v="CUST794"/>
    <x v="1"/>
    <n v="60"/>
    <x v="0"/>
    <n v="1"/>
    <n v="300"/>
    <x v="13"/>
    <x v="9"/>
    <x v="3"/>
    <x v="3"/>
  </r>
  <r>
    <n v="795"/>
    <d v="2023-11-28T00:00:00"/>
    <s v="CUST795"/>
    <x v="0"/>
    <n v="57"/>
    <x v="2"/>
    <n v="1"/>
    <n v="300"/>
    <x v="13"/>
    <x v="0"/>
    <x v="3"/>
    <x v="0"/>
  </r>
  <r>
    <n v="796"/>
    <d v="2023-06-24T00:00:00"/>
    <s v="CUST796"/>
    <x v="0"/>
    <n v="43"/>
    <x v="0"/>
    <n v="4"/>
    <n v="30"/>
    <x v="10"/>
    <x v="10"/>
    <x v="2"/>
    <x v="2"/>
  </r>
  <r>
    <n v="797"/>
    <d v="2023-01-07T00:00:00"/>
    <s v="CUST797"/>
    <x v="0"/>
    <n v="40"/>
    <x v="1"/>
    <n v="3"/>
    <n v="25"/>
    <x v="8"/>
    <x v="2"/>
    <x v="2"/>
    <x v="1"/>
  </r>
  <r>
    <n v="798"/>
    <d v="2023-08-04T00:00:00"/>
    <s v="CUST798"/>
    <x v="0"/>
    <n v="61"/>
    <x v="1"/>
    <n v="1"/>
    <n v="50"/>
    <x v="5"/>
    <x v="8"/>
    <x v="3"/>
    <x v="3"/>
  </r>
  <r>
    <n v="799"/>
    <d v="2023-09-08T00:00:00"/>
    <s v="CUST799"/>
    <x v="0"/>
    <n v="56"/>
    <x v="2"/>
    <n v="2"/>
    <n v="50"/>
    <x v="4"/>
    <x v="9"/>
    <x v="3"/>
    <x v="3"/>
  </r>
  <r>
    <n v="800"/>
    <d v="2023-02-24T00:00:00"/>
    <s v="CUST800"/>
    <x v="0"/>
    <n v="32"/>
    <x v="1"/>
    <n v="4"/>
    <n v="300"/>
    <x v="14"/>
    <x v="1"/>
    <x v="0"/>
    <x v="1"/>
  </r>
  <r>
    <n v="801"/>
    <d v="2023-08-10T00:00:00"/>
    <s v="CUST801"/>
    <x v="0"/>
    <n v="21"/>
    <x v="1"/>
    <n v="4"/>
    <n v="50"/>
    <x v="7"/>
    <x v="8"/>
    <x v="4"/>
    <x v="3"/>
  </r>
  <r>
    <n v="802"/>
    <d v="2023-07-05T00:00:00"/>
    <s v="CUST802"/>
    <x v="1"/>
    <n v="46"/>
    <x v="0"/>
    <n v="1"/>
    <n v="30"/>
    <x v="2"/>
    <x v="11"/>
    <x v="1"/>
    <x v="3"/>
  </r>
  <r>
    <n v="803"/>
    <d v="2023-11-22T00:00:00"/>
    <s v="CUST803"/>
    <x v="0"/>
    <n v="39"/>
    <x v="1"/>
    <n v="4"/>
    <n v="25"/>
    <x v="4"/>
    <x v="0"/>
    <x v="2"/>
    <x v="0"/>
  </r>
  <r>
    <n v="804"/>
    <d v="2023-08-24T00:00:00"/>
    <s v="CUST804"/>
    <x v="0"/>
    <n v="42"/>
    <x v="2"/>
    <n v="1"/>
    <n v="30"/>
    <x v="2"/>
    <x v="8"/>
    <x v="2"/>
    <x v="3"/>
  </r>
  <r>
    <n v="805"/>
    <d v="2023-12-29T00:00:00"/>
    <s v="CUST805"/>
    <x v="1"/>
    <n v="30"/>
    <x v="0"/>
    <n v="3"/>
    <n v="500"/>
    <x v="9"/>
    <x v="6"/>
    <x v="0"/>
    <x v="0"/>
  </r>
  <r>
    <n v="806"/>
    <d v="2023-03-20T00:00:00"/>
    <s v="CUST806"/>
    <x v="1"/>
    <n v="35"/>
    <x v="0"/>
    <n v="3"/>
    <n v="300"/>
    <x v="12"/>
    <x v="5"/>
    <x v="2"/>
    <x v="1"/>
  </r>
  <r>
    <n v="807"/>
    <d v="2023-08-11T00:00:00"/>
    <s v="CUST807"/>
    <x v="1"/>
    <n v="50"/>
    <x v="2"/>
    <n v="4"/>
    <n v="50"/>
    <x v="7"/>
    <x v="8"/>
    <x v="1"/>
    <x v="3"/>
  </r>
  <r>
    <n v="808"/>
    <d v="2023-04-01T00:00:00"/>
    <s v="CUST808"/>
    <x v="0"/>
    <n v="33"/>
    <x v="0"/>
    <n v="4"/>
    <n v="500"/>
    <x v="11"/>
    <x v="4"/>
    <x v="0"/>
    <x v="2"/>
  </r>
  <r>
    <n v="809"/>
    <d v="2023-09-25T00:00:00"/>
    <s v="CUST809"/>
    <x v="1"/>
    <n v="62"/>
    <x v="0"/>
    <n v="2"/>
    <n v="50"/>
    <x v="4"/>
    <x v="9"/>
    <x v="3"/>
    <x v="3"/>
  </r>
  <r>
    <n v="810"/>
    <d v="2023-11-30T00:00:00"/>
    <s v="CUST810"/>
    <x v="0"/>
    <n v="59"/>
    <x v="2"/>
    <n v="4"/>
    <n v="25"/>
    <x v="4"/>
    <x v="0"/>
    <x v="3"/>
    <x v="0"/>
  </r>
  <r>
    <n v="811"/>
    <d v="2023-05-19T00:00:00"/>
    <s v="CUST811"/>
    <x v="0"/>
    <n v="61"/>
    <x v="0"/>
    <n v="2"/>
    <n v="25"/>
    <x v="5"/>
    <x v="3"/>
    <x v="3"/>
    <x v="2"/>
  </r>
  <r>
    <n v="812"/>
    <d v="2023-11-12T00:00:00"/>
    <s v="CUST812"/>
    <x v="0"/>
    <n v="19"/>
    <x v="2"/>
    <n v="3"/>
    <n v="25"/>
    <x v="8"/>
    <x v="0"/>
    <x v="4"/>
    <x v="0"/>
  </r>
  <r>
    <n v="813"/>
    <d v="2023-10-03T00:00:00"/>
    <s v="CUST813"/>
    <x v="0"/>
    <n v="52"/>
    <x v="2"/>
    <n v="3"/>
    <n v="50"/>
    <x v="0"/>
    <x v="7"/>
    <x v="1"/>
    <x v="0"/>
  </r>
  <r>
    <n v="814"/>
    <d v="2023-09-05T00:00:00"/>
    <s v="CUST814"/>
    <x v="1"/>
    <n v="59"/>
    <x v="1"/>
    <n v="1"/>
    <n v="500"/>
    <x v="3"/>
    <x v="9"/>
    <x v="3"/>
    <x v="3"/>
  </r>
  <r>
    <n v="815"/>
    <d v="2023-08-27T00:00:00"/>
    <s v="CUST815"/>
    <x v="1"/>
    <n v="51"/>
    <x v="1"/>
    <n v="3"/>
    <n v="25"/>
    <x v="8"/>
    <x v="8"/>
    <x v="1"/>
    <x v="3"/>
  </r>
  <r>
    <n v="816"/>
    <d v="2023-08-12T00:00:00"/>
    <s v="CUST816"/>
    <x v="0"/>
    <n v="47"/>
    <x v="0"/>
    <n v="2"/>
    <n v="500"/>
    <x v="1"/>
    <x v="8"/>
    <x v="1"/>
    <x v="3"/>
  </r>
  <r>
    <n v="817"/>
    <d v="2023-10-31T00:00:00"/>
    <s v="CUST817"/>
    <x v="0"/>
    <n v="30"/>
    <x v="0"/>
    <n v="4"/>
    <n v="50"/>
    <x v="7"/>
    <x v="7"/>
    <x v="0"/>
    <x v="0"/>
  </r>
  <r>
    <n v="818"/>
    <d v="2023-05-18T00:00:00"/>
    <s v="CUST818"/>
    <x v="0"/>
    <n v="30"/>
    <x v="2"/>
    <n v="1"/>
    <n v="500"/>
    <x v="3"/>
    <x v="3"/>
    <x v="0"/>
    <x v="2"/>
  </r>
  <r>
    <n v="819"/>
    <d v="2023-06-15T00:00:00"/>
    <s v="CUST819"/>
    <x v="1"/>
    <n v="35"/>
    <x v="0"/>
    <n v="2"/>
    <n v="50"/>
    <x v="4"/>
    <x v="10"/>
    <x v="2"/>
    <x v="2"/>
  </r>
  <r>
    <n v="820"/>
    <d v="2023-05-06T00:00:00"/>
    <s v="CUST820"/>
    <x v="0"/>
    <n v="49"/>
    <x v="2"/>
    <n v="4"/>
    <n v="50"/>
    <x v="7"/>
    <x v="3"/>
    <x v="1"/>
    <x v="2"/>
  </r>
  <r>
    <n v="821"/>
    <d v="2023-02-14T00:00:00"/>
    <s v="CUST821"/>
    <x v="0"/>
    <n v="49"/>
    <x v="2"/>
    <n v="1"/>
    <n v="300"/>
    <x v="13"/>
    <x v="1"/>
    <x v="1"/>
    <x v="1"/>
  </r>
  <r>
    <n v="822"/>
    <d v="2023-05-23T00:00:00"/>
    <s v="CUST822"/>
    <x v="1"/>
    <n v="52"/>
    <x v="0"/>
    <n v="3"/>
    <n v="50"/>
    <x v="0"/>
    <x v="3"/>
    <x v="1"/>
    <x v="2"/>
  </r>
  <r>
    <n v="823"/>
    <d v="2023-08-19T00:00:00"/>
    <s v="CUST823"/>
    <x v="1"/>
    <n v="56"/>
    <x v="2"/>
    <n v="2"/>
    <n v="50"/>
    <x v="4"/>
    <x v="8"/>
    <x v="3"/>
    <x v="3"/>
  </r>
  <r>
    <n v="824"/>
    <d v="2023-05-05T00:00:00"/>
    <s v="CUST824"/>
    <x v="0"/>
    <n v="63"/>
    <x v="1"/>
    <n v="4"/>
    <n v="30"/>
    <x v="10"/>
    <x v="3"/>
    <x v="3"/>
    <x v="2"/>
  </r>
  <r>
    <n v="825"/>
    <d v="2023-08-26T00:00:00"/>
    <s v="CUST825"/>
    <x v="1"/>
    <n v="46"/>
    <x v="0"/>
    <n v="1"/>
    <n v="25"/>
    <x v="16"/>
    <x v="8"/>
    <x v="1"/>
    <x v="3"/>
  </r>
  <r>
    <n v="826"/>
    <d v="2023-10-19T00:00:00"/>
    <s v="CUST826"/>
    <x v="1"/>
    <n v="46"/>
    <x v="1"/>
    <n v="1"/>
    <n v="300"/>
    <x v="13"/>
    <x v="7"/>
    <x v="1"/>
    <x v="0"/>
  </r>
  <r>
    <n v="827"/>
    <d v="2023-11-09T00:00:00"/>
    <s v="CUST827"/>
    <x v="0"/>
    <n v="61"/>
    <x v="0"/>
    <n v="3"/>
    <n v="300"/>
    <x v="12"/>
    <x v="0"/>
    <x v="3"/>
    <x v="0"/>
  </r>
  <r>
    <n v="828"/>
    <d v="2023-12-09T00:00:00"/>
    <s v="CUST828"/>
    <x v="1"/>
    <n v="33"/>
    <x v="2"/>
    <n v="4"/>
    <n v="300"/>
    <x v="14"/>
    <x v="6"/>
    <x v="0"/>
    <x v="0"/>
  </r>
  <r>
    <n v="829"/>
    <d v="2023-07-14T00:00:00"/>
    <s v="CUST829"/>
    <x v="0"/>
    <n v="61"/>
    <x v="0"/>
    <n v="3"/>
    <n v="30"/>
    <x v="15"/>
    <x v="11"/>
    <x v="3"/>
    <x v="3"/>
  </r>
  <r>
    <n v="830"/>
    <d v="2023-06-22T00:00:00"/>
    <s v="CUST830"/>
    <x v="1"/>
    <n v="64"/>
    <x v="1"/>
    <n v="3"/>
    <n v="50"/>
    <x v="0"/>
    <x v="10"/>
    <x v="3"/>
    <x v="2"/>
  </r>
  <r>
    <n v="831"/>
    <d v="2023-01-15T00:00:00"/>
    <s v="CUST831"/>
    <x v="0"/>
    <n v="27"/>
    <x v="2"/>
    <n v="4"/>
    <n v="25"/>
    <x v="4"/>
    <x v="2"/>
    <x v="0"/>
    <x v="1"/>
  </r>
  <r>
    <n v="832"/>
    <d v="2023-09-11T00:00:00"/>
    <s v="CUST832"/>
    <x v="0"/>
    <n v="47"/>
    <x v="0"/>
    <n v="4"/>
    <n v="500"/>
    <x v="11"/>
    <x v="9"/>
    <x v="1"/>
    <x v="3"/>
  </r>
  <r>
    <n v="833"/>
    <d v="2023-06-16T00:00:00"/>
    <s v="CUST833"/>
    <x v="0"/>
    <n v="42"/>
    <x v="0"/>
    <n v="4"/>
    <n v="50"/>
    <x v="7"/>
    <x v="10"/>
    <x v="2"/>
    <x v="2"/>
  </r>
  <r>
    <n v="834"/>
    <d v="2023-04-04T00:00:00"/>
    <s v="CUST834"/>
    <x v="1"/>
    <n v="56"/>
    <x v="0"/>
    <n v="2"/>
    <n v="30"/>
    <x v="17"/>
    <x v="4"/>
    <x v="3"/>
    <x v="2"/>
  </r>
  <r>
    <n v="835"/>
    <d v="2023-09-07T00:00:00"/>
    <s v="CUST835"/>
    <x v="0"/>
    <n v="37"/>
    <x v="1"/>
    <n v="4"/>
    <n v="50"/>
    <x v="7"/>
    <x v="9"/>
    <x v="2"/>
    <x v="3"/>
  </r>
  <r>
    <n v="836"/>
    <d v="2023-04-19T00:00:00"/>
    <s v="CUST836"/>
    <x v="1"/>
    <n v="22"/>
    <x v="1"/>
    <n v="1"/>
    <n v="50"/>
    <x v="5"/>
    <x v="4"/>
    <x v="4"/>
    <x v="2"/>
  </r>
  <r>
    <n v="837"/>
    <d v="2023-07-01T00:00:00"/>
    <s v="CUST837"/>
    <x v="0"/>
    <n v="18"/>
    <x v="0"/>
    <n v="3"/>
    <n v="30"/>
    <x v="15"/>
    <x v="11"/>
    <x v="4"/>
    <x v="3"/>
  </r>
  <r>
    <n v="838"/>
    <d v="2023-05-13T00:00:00"/>
    <s v="CUST838"/>
    <x v="0"/>
    <n v="47"/>
    <x v="2"/>
    <n v="2"/>
    <n v="300"/>
    <x v="6"/>
    <x v="3"/>
    <x v="1"/>
    <x v="2"/>
  </r>
  <r>
    <n v="839"/>
    <d v="2023-06-24T00:00:00"/>
    <s v="CUST839"/>
    <x v="1"/>
    <n v="20"/>
    <x v="2"/>
    <n v="4"/>
    <n v="300"/>
    <x v="14"/>
    <x v="10"/>
    <x v="4"/>
    <x v="2"/>
  </r>
  <r>
    <n v="840"/>
    <d v="2023-05-24T00:00:00"/>
    <s v="CUST840"/>
    <x v="0"/>
    <n v="62"/>
    <x v="1"/>
    <n v="2"/>
    <n v="25"/>
    <x v="5"/>
    <x v="3"/>
    <x v="3"/>
    <x v="2"/>
  </r>
  <r>
    <n v="841"/>
    <d v="2023-11-02T00:00:00"/>
    <s v="CUST841"/>
    <x v="0"/>
    <n v="31"/>
    <x v="2"/>
    <n v="4"/>
    <n v="25"/>
    <x v="4"/>
    <x v="0"/>
    <x v="0"/>
    <x v="0"/>
  </r>
  <r>
    <n v="842"/>
    <d v="2023-12-26T00:00:00"/>
    <s v="CUST842"/>
    <x v="1"/>
    <n v="47"/>
    <x v="1"/>
    <n v="2"/>
    <n v="300"/>
    <x v="6"/>
    <x v="6"/>
    <x v="1"/>
    <x v="0"/>
  </r>
  <r>
    <n v="843"/>
    <d v="2023-05-22T00:00:00"/>
    <s v="CUST843"/>
    <x v="0"/>
    <n v="21"/>
    <x v="0"/>
    <n v="3"/>
    <n v="500"/>
    <x v="9"/>
    <x v="3"/>
    <x v="4"/>
    <x v="2"/>
  </r>
  <r>
    <n v="844"/>
    <d v="2023-10-12T00:00:00"/>
    <s v="CUST844"/>
    <x v="0"/>
    <n v="35"/>
    <x v="1"/>
    <n v="3"/>
    <n v="50"/>
    <x v="0"/>
    <x v="7"/>
    <x v="2"/>
    <x v="0"/>
  </r>
  <r>
    <n v="845"/>
    <d v="2023-01-06T00:00:00"/>
    <s v="CUST845"/>
    <x v="0"/>
    <n v="54"/>
    <x v="1"/>
    <n v="1"/>
    <n v="500"/>
    <x v="3"/>
    <x v="2"/>
    <x v="1"/>
    <x v="1"/>
  </r>
  <r>
    <n v="846"/>
    <d v="2023-09-22T00:00:00"/>
    <s v="CUST846"/>
    <x v="0"/>
    <n v="42"/>
    <x v="0"/>
    <n v="1"/>
    <n v="50"/>
    <x v="5"/>
    <x v="9"/>
    <x v="2"/>
    <x v="3"/>
  </r>
  <r>
    <n v="847"/>
    <d v="2023-04-08T00:00:00"/>
    <s v="CUST847"/>
    <x v="1"/>
    <n v="18"/>
    <x v="2"/>
    <n v="4"/>
    <n v="300"/>
    <x v="14"/>
    <x v="4"/>
    <x v="4"/>
    <x v="2"/>
  </r>
  <r>
    <n v="848"/>
    <d v="2023-02-13T00:00:00"/>
    <s v="CUST848"/>
    <x v="1"/>
    <n v="63"/>
    <x v="1"/>
    <n v="3"/>
    <n v="25"/>
    <x v="8"/>
    <x v="1"/>
    <x v="3"/>
    <x v="1"/>
  </r>
  <r>
    <n v="849"/>
    <d v="2023-05-04T00:00:00"/>
    <s v="CUST849"/>
    <x v="0"/>
    <n v="32"/>
    <x v="1"/>
    <n v="2"/>
    <n v="25"/>
    <x v="5"/>
    <x v="3"/>
    <x v="0"/>
    <x v="2"/>
  </r>
  <r>
    <n v="850"/>
    <d v="2023-07-28T00:00:00"/>
    <s v="CUST850"/>
    <x v="1"/>
    <n v="26"/>
    <x v="0"/>
    <n v="2"/>
    <n v="500"/>
    <x v="1"/>
    <x v="11"/>
    <x v="0"/>
    <x v="3"/>
  </r>
  <r>
    <n v="851"/>
    <d v="2023-09-08T00:00:00"/>
    <s v="CUST851"/>
    <x v="0"/>
    <n v="32"/>
    <x v="2"/>
    <n v="2"/>
    <n v="25"/>
    <x v="5"/>
    <x v="9"/>
    <x v="0"/>
    <x v="3"/>
  </r>
  <r>
    <n v="852"/>
    <d v="2023-10-12T00:00:00"/>
    <s v="CUST852"/>
    <x v="1"/>
    <n v="41"/>
    <x v="1"/>
    <n v="1"/>
    <n v="300"/>
    <x v="13"/>
    <x v="7"/>
    <x v="2"/>
    <x v="0"/>
  </r>
  <r>
    <n v="853"/>
    <d v="2023-05-04T00:00:00"/>
    <s v="CUST853"/>
    <x v="0"/>
    <n v="21"/>
    <x v="0"/>
    <n v="2"/>
    <n v="500"/>
    <x v="1"/>
    <x v="3"/>
    <x v="4"/>
    <x v="2"/>
  </r>
  <r>
    <n v="854"/>
    <d v="2023-12-20T00:00:00"/>
    <s v="CUST854"/>
    <x v="0"/>
    <n v="29"/>
    <x v="1"/>
    <n v="1"/>
    <n v="50"/>
    <x v="5"/>
    <x v="6"/>
    <x v="0"/>
    <x v="0"/>
  </r>
  <r>
    <n v="855"/>
    <d v="2023-09-01T00:00:00"/>
    <s v="CUST855"/>
    <x v="0"/>
    <n v="54"/>
    <x v="0"/>
    <n v="1"/>
    <n v="25"/>
    <x v="16"/>
    <x v="9"/>
    <x v="1"/>
    <x v="3"/>
  </r>
  <r>
    <n v="856"/>
    <d v="2023-11-27T00:00:00"/>
    <s v="CUST856"/>
    <x v="0"/>
    <n v="54"/>
    <x v="2"/>
    <n v="4"/>
    <n v="30"/>
    <x v="10"/>
    <x v="0"/>
    <x v="1"/>
    <x v="0"/>
  </r>
  <r>
    <n v="857"/>
    <d v="2023-12-31T00:00:00"/>
    <s v="CUST857"/>
    <x v="0"/>
    <n v="60"/>
    <x v="2"/>
    <n v="2"/>
    <n v="25"/>
    <x v="5"/>
    <x v="6"/>
    <x v="3"/>
    <x v="0"/>
  </r>
  <r>
    <n v="858"/>
    <d v="2023-09-09T00:00:00"/>
    <s v="CUST858"/>
    <x v="0"/>
    <n v="23"/>
    <x v="2"/>
    <n v="2"/>
    <n v="50"/>
    <x v="4"/>
    <x v="9"/>
    <x v="4"/>
    <x v="3"/>
  </r>
  <r>
    <n v="859"/>
    <d v="2023-08-18T00:00:00"/>
    <s v="CUST859"/>
    <x v="1"/>
    <n v="56"/>
    <x v="2"/>
    <n v="3"/>
    <n v="500"/>
    <x v="9"/>
    <x v="8"/>
    <x v="3"/>
    <x v="3"/>
  </r>
  <r>
    <n v="860"/>
    <d v="2023-01-09T00:00:00"/>
    <s v="CUST860"/>
    <x v="0"/>
    <n v="63"/>
    <x v="1"/>
    <n v="4"/>
    <n v="50"/>
    <x v="7"/>
    <x v="2"/>
    <x v="3"/>
    <x v="1"/>
  </r>
  <r>
    <n v="861"/>
    <d v="2023-02-17T00:00:00"/>
    <s v="CUST861"/>
    <x v="1"/>
    <n v="41"/>
    <x v="1"/>
    <n v="3"/>
    <n v="30"/>
    <x v="15"/>
    <x v="1"/>
    <x v="2"/>
    <x v="1"/>
  </r>
  <r>
    <n v="862"/>
    <d v="2023-05-31T00:00:00"/>
    <s v="CUST862"/>
    <x v="0"/>
    <n v="28"/>
    <x v="2"/>
    <n v="4"/>
    <n v="300"/>
    <x v="14"/>
    <x v="3"/>
    <x v="0"/>
    <x v="2"/>
  </r>
  <r>
    <n v="863"/>
    <d v="2023-04-24T00:00:00"/>
    <s v="CUST863"/>
    <x v="1"/>
    <n v="30"/>
    <x v="2"/>
    <n v="2"/>
    <n v="25"/>
    <x v="5"/>
    <x v="4"/>
    <x v="0"/>
    <x v="2"/>
  </r>
  <r>
    <n v="864"/>
    <d v="2023-07-27T00:00:00"/>
    <s v="CUST864"/>
    <x v="1"/>
    <n v="51"/>
    <x v="2"/>
    <n v="1"/>
    <n v="500"/>
    <x v="3"/>
    <x v="11"/>
    <x v="1"/>
    <x v="3"/>
  </r>
  <r>
    <n v="865"/>
    <d v="2023-12-21T00:00:00"/>
    <s v="CUST865"/>
    <x v="1"/>
    <n v="42"/>
    <x v="1"/>
    <n v="1"/>
    <n v="300"/>
    <x v="13"/>
    <x v="6"/>
    <x v="2"/>
    <x v="0"/>
  </r>
  <r>
    <n v="866"/>
    <d v="2023-05-05T00:00:00"/>
    <s v="CUST866"/>
    <x v="0"/>
    <n v="24"/>
    <x v="2"/>
    <n v="1"/>
    <n v="50"/>
    <x v="5"/>
    <x v="3"/>
    <x v="4"/>
    <x v="2"/>
  </r>
  <r>
    <n v="867"/>
    <d v="2023-06-06T00:00:00"/>
    <s v="CUST867"/>
    <x v="0"/>
    <n v="21"/>
    <x v="2"/>
    <n v="1"/>
    <n v="500"/>
    <x v="3"/>
    <x v="10"/>
    <x v="4"/>
    <x v="2"/>
  </r>
  <r>
    <n v="868"/>
    <d v="2023-12-06T00:00:00"/>
    <s v="CUST868"/>
    <x v="1"/>
    <n v="25"/>
    <x v="2"/>
    <n v="1"/>
    <n v="300"/>
    <x v="13"/>
    <x v="6"/>
    <x v="0"/>
    <x v="0"/>
  </r>
  <r>
    <n v="869"/>
    <d v="2023-10-25T00:00:00"/>
    <s v="CUST869"/>
    <x v="0"/>
    <n v="37"/>
    <x v="0"/>
    <n v="3"/>
    <n v="500"/>
    <x v="9"/>
    <x v="7"/>
    <x v="2"/>
    <x v="0"/>
  </r>
  <r>
    <n v="870"/>
    <d v="2023-07-08T00:00:00"/>
    <s v="CUST870"/>
    <x v="1"/>
    <n v="46"/>
    <x v="2"/>
    <n v="4"/>
    <n v="30"/>
    <x v="10"/>
    <x v="11"/>
    <x v="1"/>
    <x v="3"/>
  </r>
  <r>
    <n v="871"/>
    <d v="2023-08-31T00:00:00"/>
    <s v="CUST871"/>
    <x v="0"/>
    <n v="62"/>
    <x v="0"/>
    <n v="2"/>
    <n v="30"/>
    <x v="17"/>
    <x v="8"/>
    <x v="3"/>
    <x v="3"/>
  </r>
  <r>
    <n v="872"/>
    <d v="2023-10-11T00:00:00"/>
    <s v="CUST872"/>
    <x v="1"/>
    <n v="63"/>
    <x v="0"/>
    <n v="3"/>
    <n v="25"/>
    <x v="8"/>
    <x v="7"/>
    <x v="3"/>
    <x v="0"/>
  </r>
  <r>
    <n v="873"/>
    <d v="2023-09-29T00:00:00"/>
    <s v="CUST873"/>
    <x v="1"/>
    <n v="27"/>
    <x v="2"/>
    <n v="4"/>
    <n v="25"/>
    <x v="4"/>
    <x v="9"/>
    <x v="0"/>
    <x v="3"/>
  </r>
  <r>
    <n v="874"/>
    <d v="2023-06-26T00:00:00"/>
    <s v="CUST874"/>
    <x v="0"/>
    <n v="60"/>
    <x v="0"/>
    <n v="1"/>
    <n v="30"/>
    <x v="2"/>
    <x v="10"/>
    <x v="3"/>
    <x v="2"/>
  </r>
  <r>
    <n v="875"/>
    <d v="2023-08-06T00:00:00"/>
    <s v="CUST875"/>
    <x v="1"/>
    <n v="51"/>
    <x v="2"/>
    <n v="4"/>
    <n v="500"/>
    <x v="11"/>
    <x v="8"/>
    <x v="1"/>
    <x v="3"/>
  </r>
  <r>
    <n v="876"/>
    <d v="2023-10-09T00:00:00"/>
    <s v="CUST876"/>
    <x v="0"/>
    <n v="43"/>
    <x v="1"/>
    <n v="4"/>
    <n v="30"/>
    <x v="10"/>
    <x v="7"/>
    <x v="2"/>
    <x v="0"/>
  </r>
  <r>
    <n v="877"/>
    <d v="2023-06-19T00:00:00"/>
    <s v="CUST877"/>
    <x v="1"/>
    <n v="58"/>
    <x v="1"/>
    <n v="1"/>
    <n v="25"/>
    <x v="16"/>
    <x v="10"/>
    <x v="3"/>
    <x v="2"/>
  </r>
  <r>
    <n v="878"/>
    <d v="2023-06-30T00:00:00"/>
    <s v="CUST878"/>
    <x v="1"/>
    <n v="20"/>
    <x v="1"/>
    <n v="1"/>
    <n v="30"/>
    <x v="2"/>
    <x v="10"/>
    <x v="4"/>
    <x v="2"/>
  </r>
  <r>
    <n v="879"/>
    <d v="2023-12-26T00:00:00"/>
    <s v="CUST879"/>
    <x v="0"/>
    <n v="23"/>
    <x v="1"/>
    <n v="1"/>
    <n v="30"/>
    <x v="2"/>
    <x v="6"/>
    <x v="4"/>
    <x v="0"/>
  </r>
  <r>
    <n v="880"/>
    <d v="2023-08-21T00:00:00"/>
    <s v="CUST880"/>
    <x v="0"/>
    <n v="22"/>
    <x v="0"/>
    <n v="2"/>
    <n v="500"/>
    <x v="1"/>
    <x v="8"/>
    <x v="4"/>
    <x v="3"/>
  </r>
  <r>
    <n v="881"/>
    <d v="2023-05-19T00:00:00"/>
    <s v="CUST881"/>
    <x v="0"/>
    <n v="22"/>
    <x v="2"/>
    <n v="1"/>
    <n v="300"/>
    <x v="13"/>
    <x v="3"/>
    <x v="4"/>
    <x v="2"/>
  </r>
  <r>
    <n v="882"/>
    <d v="2023-06-06T00:00:00"/>
    <s v="CUST882"/>
    <x v="1"/>
    <n v="64"/>
    <x v="2"/>
    <n v="2"/>
    <n v="25"/>
    <x v="5"/>
    <x v="10"/>
    <x v="3"/>
    <x v="2"/>
  </r>
  <r>
    <n v="883"/>
    <d v="2023-05-09T00:00:00"/>
    <s v="CUST883"/>
    <x v="0"/>
    <n v="40"/>
    <x v="2"/>
    <n v="1"/>
    <n v="500"/>
    <x v="3"/>
    <x v="3"/>
    <x v="2"/>
    <x v="2"/>
  </r>
  <r>
    <n v="884"/>
    <d v="2023-04-29T00:00:00"/>
    <s v="CUST884"/>
    <x v="1"/>
    <n v="26"/>
    <x v="1"/>
    <n v="2"/>
    <n v="30"/>
    <x v="17"/>
    <x v="4"/>
    <x v="0"/>
    <x v="2"/>
  </r>
  <r>
    <n v="885"/>
    <d v="2023-03-03T00:00:00"/>
    <s v="CUST885"/>
    <x v="1"/>
    <n v="52"/>
    <x v="1"/>
    <n v="4"/>
    <n v="30"/>
    <x v="10"/>
    <x v="5"/>
    <x v="1"/>
    <x v="1"/>
  </r>
  <r>
    <n v="886"/>
    <d v="2023-04-09T00:00:00"/>
    <s v="CUST886"/>
    <x v="0"/>
    <n v="37"/>
    <x v="2"/>
    <n v="3"/>
    <n v="300"/>
    <x v="12"/>
    <x v="4"/>
    <x v="2"/>
    <x v="2"/>
  </r>
  <r>
    <n v="887"/>
    <d v="2023-06-11T00:00:00"/>
    <s v="CUST887"/>
    <x v="0"/>
    <n v="59"/>
    <x v="1"/>
    <n v="4"/>
    <n v="25"/>
    <x v="4"/>
    <x v="10"/>
    <x v="3"/>
    <x v="2"/>
  </r>
  <r>
    <n v="888"/>
    <d v="2023-03-03T00:00:00"/>
    <s v="CUST888"/>
    <x v="1"/>
    <n v="52"/>
    <x v="2"/>
    <n v="4"/>
    <n v="25"/>
    <x v="4"/>
    <x v="5"/>
    <x v="1"/>
    <x v="1"/>
  </r>
  <r>
    <n v="889"/>
    <d v="2023-10-02T00:00:00"/>
    <s v="CUST889"/>
    <x v="1"/>
    <n v="35"/>
    <x v="2"/>
    <n v="1"/>
    <n v="50"/>
    <x v="5"/>
    <x v="7"/>
    <x v="2"/>
    <x v="0"/>
  </r>
  <r>
    <n v="890"/>
    <d v="2023-12-20T00:00:00"/>
    <s v="CUST890"/>
    <x v="0"/>
    <n v="34"/>
    <x v="2"/>
    <n v="2"/>
    <n v="25"/>
    <x v="5"/>
    <x v="6"/>
    <x v="0"/>
    <x v="0"/>
  </r>
  <r>
    <n v="891"/>
    <d v="2023-04-05T00:00:00"/>
    <s v="CUST891"/>
    <x v="0"/>
    <n v="41"/>
    <x v="2"/>
    <n v="3"/>
    <n v="300"/>
    <x v="12"/>
    <x v="4"/>
    <x v="2"/>
    <x v="2"/>
  </r>
  <r>
    <n v="892"/>
    <d v="2023-04-09T00:00:00"/>
    <s v="CUST892"/>
    <x v="0"/>
    <n v="20"/>
    <x v="2"/>
    <n v="1"/>
    <n v="50"/>
    <x v="5"/>
    <x v="4"/>
    <x v="4"/>
    <x v="2"/>
  </r>
  <r>
    <n v="893"/>
    <d v="2023-04-21T00:00:00"/>
    <s v="CUST893"/>
    <x v="0"/>
    <n v="49"/>
    <x v="2"/>
    <n v="1"/>
    <n v="50"/>
    <x v="5"/>
    <x v="4"/>
    <x v="1"/>
    <x v="2"/>
  </r>
  <r>
    <n v="894"/>
    <d v="2023-09-05T00:00:00"/>
    <s v="CUST894"/>
    <x v="0"/>
    <n v="52"/>
    <x v="2"/>
    <n v="1"/>
    <n v="30"/>
    <x v="2"/>
    <x v="9"/>
    <x v="1"/>
    <x v="3"/>
  </r>
  <r>
    <n v="895"/>
    <d v="2023-05-22T00:00:00"/>
    <s v="CUST895"/>
    <x v="1"/>
    <n v="55"/>
    <x v="1"/>
    <n v="4"/>
    <n v="30"/>
    <x v="10"/>
    <x v="3"/>
    <x v="3"/>
    <x v="2"/>
  </r>
  <r>
    <n v="896"/>
    <d v="2023-10-29T00:00:00"/>
    <s v="CUST896"/>
    <x v="1"/>
    <n v="30"/>
    <x v="2"/>
    <n v="2"/>
    <n v="25"/>
    <x v="5"/>
    <x v="7"/>
    <x v="0"/>
    <x v="0"/>
  </r>
  <r>
    <n v="897"/>
    <d v="2023-09-26T00:00:00"/>
    <s v="CUST897"/>
    <x v="1"/>
    <n v="64"/>
    <x v="2"/>
    <n v="2"/>
    <n v="50"/>
    <x v="4"/>
    <x v="9"/>
    <x v="3"/>
    <x v="3"/>
  </r>
  <r>
    <n v="898"/>
    <d v="2023-11-02T00:00:00"/>
    <s v="CUST898"/>
    <x v="1"/>
    <n v="42"/>
    <x v="1"/>
    <n v="3"/>
    <n v="30"/>
    <x v="15"/>
    <x v="0"/>
    <x v="2"/>
    <x v="0"/>
  </r>
  <r>
    <n v="899"/>
    <d v="2023-05-25T00:00:00"/>
    <s v="CUST899"/>
    <x v="0"/>
    <n v="26"/>
    <x v="1"/>
    <n v="2"/>
    <n v="300"/>
    <x v="6"/>
    <x v="3"/>
    <x v="0"/>
    <x v="2"/>
  </r>
  <r>
    <n v="900"/>
    <d v="2023-02-21T00:00:00"/>
    <s v="CUST900"/>
    <x v="0"/>
    <n v="21"/>
    <x v="1"/>
    <n v="2"/>
    <n v="30"/>
    <x v="17"/>
    <x v="1"/>
    <x v="4"/>
    <x v="1"/>
  </r>
  <r>
    <n v="901"/>
    <d v="2023-04-10T00:00:00"/>
    <s v="CUST901"/>
    <x v="0"/>
    <n v="31"/>
    <x v="2"/>
    <n v="1"/>
    <n v="30"/>
    <x v="2"/>
    <x v="4"/>
    <x v="0"/>
    <x v="2"/>
  </r>
  <r>
    <n v="902"/>
    <d v="2023-06-01T00:00:00"/>
    <s v="CUST902"/>
    <x v="1"/>
    <n v="54"/>
    <x v="0"/>
    <n v="1"/>
    <n v="50"/>
    <x v="5"/>
    <x v="10"/>
    <x v="1"/>
    <x v="2"/>
  </r>
  <r>
    <n v="903"/>
    <d v="2023-04-27T00:00:00"/>
    <s v="CUST903"/>
    <x v="1"/>
    <n v="51"/>
    <x v="0"/>
    <n v="4"/>
    <n v="50"/>
    <x v="7"/>
    <x v="4"/>
    <x v="1"/>
    <x v="2"/>
  </r>
  <r>
    <n v="904"/>
    <d v="2023-07-04T00:00:00"/>
    <s v="CUST904"/>
    <x v="0"/>
    <n v="28"/>
    <x v="1"/>
    <n v="1"/>
    <n v="500"/>
    <x v="3"/>
    <x v="11"/>
    <x v="0"/>
    <x v="3"/>
  </r>
  <r>
    <n v="905"/>
    <d v="2023-04-02T00:00:00"/>
    <s v="CUST905"/>
    <x v="0"/>
    <n v="58"/>
    <x v="0"/>
    <n v="1"/>
    <n v="300"/>
    <x v="13"/>
    <x v="4"/>
    <x v="3"/>
    <x v="2"/>
  </r>
  <r>
    <n v="906"/>
    <d v="2023-06-04T00:00:00"/>
    <s v="CUST906"/>
    <x v="1"/>
    <n v="20"/>
    <x v="1"/>
    <n v="1"/>
    <n v="50"/>
    <x v="5"/>
    <x v="10"/>
    <x v="4"/>
    <x v="2"/>
  </r>
  <r>
    <n v="907"/>
    <d v="2023-01-08T00:00:00"/>
    <s v="CUST907"/>
    <x v="1"/>
    <n v="45"/>
    <x v="2"/>
    <n v="1"/>
    <n v="25"/>
    <x v="16"/>
    <x v="2"/>
    <x v="1"/>
    <x v="1"/>
  </r>
  <r>
    <n v="908"/>
    <d v="2023-12-29T00:00:00"/>
    <s v="CUST908"/>
    <x v="0"/>
    <n v="46"/>
    <x v="0"/>
    <n v="4"/>
    <n v="300"/>
    <x v="14"/>
    <x v="6"/>
    <x v="1"/>
    <x v="0"/>
  </r>
  <r>
    <n v="909"/>
    <d v="2023-10-01T00:00:00"/>
    <s v="CUST909"/>
    <x v="0"/>
    <n v="26"/>
    <x v="2"/>
    <n v="1"/>
    <n v="300"/>
    <x v="13"/>
    <x v="7"/>
    <x v="0"/>
    <x v="0"/>
  </r>
  <r>
    <n v="910"/>
    <d v="2023-03-06T00:00:00"/>
    <s v="CUST910"/>
    <x v="1"/>
    <n v="20"/>
    <x v="0"/>
    <n v="3"/>
    <n v="50"/>
    <x v="0"/>
    <x v="5"/>
    <x v="4"/>
    <x v="1"/>
  </r>
  <r>
    <n v="911"/>
    <d v="2023-05-21T00:00:00"/>
    <s v="CUST911"/>
    <x v="0"/>
    <n v="42"/>
    <x v="2"/>
    <n v="3"/>
    <n v="300"/>
    <x v="12"/>
    <x v="3"/>
    <x v="2"/>
    <x v="2"/>
  </r>
  <r>
    <n v="912"/>
    <d v="2023-01-24T00:00:00"/>
    <s v="CUST912"/>
    <x v="0"/>
    <n v="51"/>
    <x v="0"/>
    <n v="3"/>
    <n v="50"/>
    <x v="0"/>
    <x v="2"/>
    <x v="1"/>
    <x v="1"/>
  </r>
  <r>
    <n v="913"/>
    <d v="2023-01-28T00:00:00"/>
    <s v="CUST913"/>
    <x v="0"/>
    <n v="29"/>
    <x v="2"/>
    <n v="3"/>
    <n v="30"/>
    <x v="15"/>
    <x v="2"/>
    <x v="0"/>
    <x v="1"/>
  </r>
  <r>
    <n v="914"/>
    <d v="2023-10-11T00:00:00"/>
    <s v="CUST914"/>
    <x v="1"/>
    <n v="59"/>
    <x v="2"/>
    <n v="1"/>
    <n v="500"/>
    <x v="3"/>
    <x v="7"/>
    <x v="3"/>
    <x v="0"/>
  </r>
  <r>
    <n v="915"/>
    <d v="2023-05-30T00:00:00"/>
    <s v="CUST915"/>
    <x v="1"/>
    <n v="26"/>
    <x v="0"/>
    <n v="3"/>
    <n v="30"/>
    <x v="15"/>
    <x v="3"/>
    <x v="0"/>
    <x v="2"/>
  </r>
  <r>
    <n v="916"/>
    <d v="2023-12-24T00:00:00"/>
    <s v="CUST916"/>
    <x v="1"/>
    <n v="32"/>
    <x v="2"/>
    <n v="1"/>
    <n v="50"/>
    <x v="5"/>
    <x v="6"/>
    <x v="0"/>
    <x v="0"/>
  </r>
  <r>
    <n v="917"/>
    <d v="2023-03-06T00:00:00"/>
    <s v="CUST917"/>
    <x v="1"/>
    <n v="57"/>
    <x v="2"/>
    <n v="4"/>
    <n v="50"/>
    <x v="7"/>
    <x v="5"/>
    <x v="3"/>
    <x v="1"/>
  </r>
  <r>
    <n v="918"/>
    <d v="2023-11-23T00:00:00"/>
    <s v="CUST918"/>
    <x v="1"/>
    <n v="42"/>
    <x v="2"/>
    <n v="3"/>
    <n v="30"/>
    <x v="15"/>
    <x v="0"/>
    <x v="2"/>
    <x v="0"/>
  </r>
  <r>
    <n v="919"/>
    <d v="2023-09-09T00:00:00"/>
    <s v="CUST919"/>
    <x v="1"/>
    <n v="22"/>
    <x v="0"/>
    <n v="2"/>
    <n v="25"/>
    <x v="5"/>
    <x v="9"/>
    <x v="4"/>
    <x v="3"/>
  </r>
  <r>
    <n v="920"/>
    <d v="2023-02-22T00:00:00"/>
    <s v="CUST920"/>
    <x v="1"/>
    <n v="28"/>
    <x v="0"/>
    <n v="3"/>
    <n v="25"/>
    <x v="8"/>
    <x v="1"/>
    <x v="0"/>
    <x v="1"/>
  </r>
  <r>
    <n v="921"/>
    <d v="2023-01-07T00:00:00"/>
    <s v="CUST921"/>
    <x v="0"/>
    <n v="51"/>
    <x v="2"/>
    <n v="3"/>
    <n v="25"/>
    <x v="8"/>
    <x v="2"/>
    <x v="1"/>
    <x v="1"/>
  </r>
  <r>
    <n v="922"/>
    <d v="2023-10-21T00:00:00"/>
    <s v="CUST922"/>
    <x v="0"/>
    <n v="41"/>
    <x v="2"/>
    <n v="1"/>
    <n v="50"/>
    <x v="5"/>
    <x v="7"/>
    <x v="2"/>
    <x v="0"/>
  </r>
  <r>
    <n v="923"/>
    <d v="2023-05-26T00:00:00"/>
    <s v="CUST923"/>
    <x v="0"/>
    <n v="32"/>
    <x v="0"/>
    <n v="3"/>
    <n v="300"/>
    <x v="12"/>
    <x v="3"/>
    <x v="0"/>
    <x v="2"/>
  </r>
  <r>
    <n v="924"/>
    <d v="2023-08-29T00:00:00"/>
    <s v="CUST924"/>
    <x v="0"/>
    <n v="55"/>
    <x v="0"/>
    <n v="2"/>
    <n v="50"/>
    <x v="4"/>
    <x v="8"/>
    <x v="3"/>
    <x v="3"/>
  </r>
  <r>
    <n v="925"/>
    <d v="2023-09-03T00:00:00"/>
    <s v="CUST925"/>
    <x v="0"/>
    <n v="25"/>
    <x v="2"/>
    <n v="1"/>
    <n v="300"/>
    <x v="13"/>
    <x v="9"/>
    <x v="0"/>
    <x v="3"/>
  </r>
  <r>
    <n v="926"/>
    <d v="2023-08-14T00:00:00"/>
    <s v="CUST926"/>
    <x v="0"/>
    <n v="22"/>
    <x v="2"/>
    <n v="1"/>
    <n v="30"/>
    <x v="2"/>
    <x v="8"/>
    <x v="4"/>
    <x v="3"/>
  </r>
  <r>
    <n v="927"/>
    <d v="2023-06-24T00:00:00"/>
    <s v="CUST927"/>
    <x v="0"/>
    <n v="43"/>
    <x v="2"/>
    <n v="4"/>
    <n v="500"/>
    <x v="11"/>
    <x v="10"/>
    <x v="2"/>
    <x v="2"/>
  </r>
  <r>
    <n v="928"/>
    <d v="2023-04-05T00:00:00"/>
    <s v="CUST928"/>
    <x v="1"/>
    <n v="35"/>
    <x v="1"/>
    <n v="4"/>
    <n v="300"/>
    <x v="14"/>
    <x v="4"/>
    <x v="2"/>
    <x v="2"/>
  </r>
  <r>
    <n v="929"/>
    <d v="2023-01-27T00:00:00"/>
    <s v="CUST929"/>
    <x v="1"/>
    <n v="23"/>
    <x v="0"/>
    <n v="3"/>
    <n v="25"/>
    <x v="8"/>
    <x v="2"/>
    <x v="4"/>
    <x v="1"/>
  </r>
  <r>
    <n v="930"/>
    <d v="2023-05-10T00:00:00"/>
    <s v="CUST930"/>
    <x v="0"/>
    <n v="54"/>
    <x v="1"/>
    <n v="4"/>
    <n v="50"/>
    <x v="7"/>
    <x v="3"/>
    <x v="1"/>
    <x v="2"/>
  </r>
  <r>
    <n v="931"/>
    <d v="2023-09-02T00:00:00"/>
    <s v="CUST931"/>
    <x v="0"/>
    <n v="30"/>
    <x v="0"/>
    <n v="4"/>
    <n v="30"/>
    <x v="10"/>
    <x v="9"/>
    <x v="0"/>
    <x v="3"/>
  </r>
  <r>
    <n v="932"/>
    <d v="2023-02-28T00:00:00"/>
    <s v="CUST932"/>
    <x v="1"/>
    <n v="45"/>
    <x v="0"/>
    <n v="4"/>
    <n v="25"/>
    <x v="4"/>
    <x v="1"/>
    <x v="1"/>
    <x v="1"/>
  </r>
  <r>
    <n v="933"/>
    <d v="2023-02-03T00:00:00"/>
    <s v="CUST933"/>
    <x v="0"/>
    <n v="22"/>
    <x v="0"/>
    <n v="1"/>
    <n v="30"/>
    <x v="2"/>
    <x v="1"/>
    <x v="4"/>
    <x v="1"/>
  </r>
  <r>
    <n v="934"/>
    <d v="2023-07-25T00:00:00"/>
    <s v="CUST934"/>
    <x v="0"/>
    <n v="30"/>
    <x v="0"/>
    <n v="1"/>
    <n v="500"/>
    <x v="3"/>
    <x v="11"/>
    <x v="0"/>
    <x v="3"/>
  </r>
  <r>
    <n v="935"/>
    <d v="2023-09-09T00:00:00"/>
    <s v="CUST935"/>
    <x v="1"/>
    <n v="34"/>
    <x v="0"/>
    <n v="1"/>
    <n v="50"/>
    <x v="5"/>
    <x v="9"/>
    <x v="0"/>
    <x v="3"/>
  </r>
  <r>
    <n v="936"/>
    <d v="2023-02-07T00:00:00"/>
    <s v="CUST936"/>
    <x v="0"/>
    <n v="57"/>
    <x v="0"/>
    <n v="4"/>
    <n v="50"/>
    <x v="7"/>
    <x v="1"/>
    <x v="3"/>
    <x v="1"/>
  </r>
  <r>
    <n v="937"/>
    <d v="2023-10-23T00:00:00"/>
    <s v="CUST937"/>
    <x v="1"/>
    <n v="62"/>
    <x v="0"/>
    <n v="1"/>
    <n v="500"/>
    <x v="3"/>
    <x v="7"/>
    <x v="3"/>
    <x v="0"/>
  </r>
  <r>
    <n v="938"/>
    <d v="2023-11-19T00:00:00"/>
    <s v="CUST938"/>
    <x v="0"/>
    <n v="49"/>
    <x v="1"/>
    <n v="4"/>
    <n v="50"/>
    <x v="7"/>
    <x v="0"/>
    <x v="1"/>
    <x v="0"/>
  </r>
  <r>
    <n v="939"/>
    <d v="2023-12-18T00:00:00"/>
    <s v="CUST939"/>
    <x v="1"/>
    <n v="46"/>
    <x v="2"/>
    <n v="1"/>
    <n v="300"/>
    <x v="13"/>
    <x v="6"/>
    <x v="1"/>
    <x v="0"/>
  </r>
  <r>
    <n v="940"/>
    <d v="2023-01-28T00:00:00"/>
    <s v="CUST940"/>
    <x v="1"/>
    <n v="20"/>
    <x v="2"/>
    <n v="1"/>
    <n v="30"/>
    <x v="2"/>
    <x v="2"/>
    <x v="4"/>
    <x v="1"/>
  </r>
  <r>
    <n v="941"/>
    <d v="2023-03-19T00:00:00"/>
    <s v="CUST941"/>
    <x v="1"/>
    <n v="57"/>
    <x v="1"/>
    <n v="2"/>
    <n v="25"/>
    <x v="5"/>
    <x v="5"/>
    <x v="3"/>
    <x v="1"/>
  </r>
  <r>
    <n v="942"/>
    <d v="2023-03-18T00:00:00"/>
    <s v="CUST942"/>
    <x v="0"/>
    <n v="51"/>
    <x v="1"/>
    <n v="3"/>
    <n v="500"/>
    <x v="9"/>
    <x v="5"/>
    <x v="1"/>
    <x v="1"/>
  </r>
  <r>
    <n v="943"/>
    <d v="2023-10-16T00:00:00"/>
    <s v="CUST943"/>
    <x v="1"/>
    <n v="57"/>
    <x v="1"/>
    <n v="4"/>
    <n v="300"/>
    <x v="14"/>
    <x v="7"/>
    <x v="3"/>
    <x v="0"/>
  </r>
  <r>
    <n v="944"/>
    <d v="2023-06-05T00:00:00"/>
    <s v="CUST944"/>
    <x v="0"/>
    <n v="44"/>
    <x v="1"/>
    <n v="2"/>
    <n v="25"/>
    <x v="5"/>
    <x v="10"/>
    <x v="2"/>
    <x v="2"/>
  </r>
  <r>
    <n v="945"/>
    <d v="2023-02-13T00:00:00"/>
    <s v="CUST945"/>
    <x v="0"/>
    <n v="30"/>
    <x v="0"/>
    <n v="1"/>
    <n v="25"/>
    <x v="16"/>
    <x v="1"/>
    <x v="0"/>
    <x v="1"/>
  </r>
  <r>
    <n v="946"/>
    <d v="2023-05-08T00:00:00"/>
    <s v="CUST946"/>
    <x v="0"/>
    <n v="62"/>
    <x v="2"/>
    <n v="4"/>
    <n v="500"/>
    <x v="11"/>
    <x v="3"/>
    <x v="3"/>
    <x v="2"/>
  </r>
  <r>
    <n v="947"/>
    <d v="2023-03-02T00:00:00"/>
    <s v="CUST947"/>
    <x v="0"/>
    <n v="50"/>
    <x v="0"/>
    <n v="1"/>
    <n v="300"/>
    <x v="13"/>
    <x v="5"/>
    <x v="1"/>
    <x v="1"/>
  </r>
  <r>
    <n v="948"/>
    <d v="2023-10-13T00:00:00"/>
    <s v="CUST948"/>
    <x v="1"/>
    <n v="23"/>
    <x v="2"/>
    <n v="3"/>
    <n v="25"/>
    <x v="8"/>
    <x v="7"/>
    <x v="4"/>
    <x v="0"/>
  </r>
  <r>
    <n v="949"/>
    <d v="2023-08-02T00:00:00"/>
    <s v="CUST949"/>
    <x v="1"/>
    <n v="41"/>
    <x v="2"/>
    <n v="2"/>
    <n v="25"/>
    <x v="5"/>
    <x v="8"/>
    <x v="2"/>
    <x v="3"/>
  </r>
  <r>
    <n v="950"/>
    <d v="2023-11-07T00:00:00"/>
    <s v="CUST950"/>
    <x v="0"/>
    <n v="36"/>
    <x v="1"/>
    <n v="3"/>
    <n v="300"/>
    <x v="12"/>
    <x v="0"/>
    <x v="2"/>
    <x v="0"/>
  </r>
  <r>
    <n v="951"/>
    <d v="2023-11-02T00:00:00"/>
    <s v="CUST951"/>
    <x v="0"/>
    <n v="33"/>
    <x v="0"/>
    <n v="2"/>
    <n v="50"/>
    <x v="4"/>
    <x v="0"/>
    <x v="0"/>
    <x v="0"/>
  </r>
  <r>
    <n v="952"/>
    <d v="2023-11-13T00:00:00"/>
    <s v="CUST952"/>
    <x v="1"/>
    <n v="57"/>
    <x v="1"/>
    <n v="1"/>
    <n v="25"/>
    <x v="16"/>
    <x v="0"/>
    <x v="3"/>
    <x v="0"/>
  </r>
  <r>
    <n v="953"/>
    <d v="2023-04-26T00:00:00"/>
    <s v="CUST953"/>
    <x v="0"/>
    <n v="45"/>
    <x v="0"/>
    <n v="3"/>
    <n v="30"/>
    <x v="15"/>
    <x v="4"/>
    <x v="1"/>
    <x v="2"/>
  </r>
  <r>
    <n v="954"/>
    <d v="2023-09-25T00:00:00"/>
    <s v="CUST954"/>
    <x v="1"/>
    <n v="50"/>
    <x v="2"/>
    <n v="3"/>
    <n v="300"/>
    <x v="12"/>
    <x v="9"/>
    <x v="1"/>
    <x v="3"/>
  </r>
  <r>
    <n v="955"/>
    <d v="2023-07-14T00:00:00"/>
    <s v="CUST955"/>
    <x v="0"/>
    <n v="58"/>
    <x v="1"/>
    <n v="1"/>
    <n v="25"/>
    <x v="16"/>
    <x v="11"/>
    <x v="3"/>
    <x v="3"/>
  </r>
  <r>
    <n v="956"/>
    <d v="2023-08-19T00:00:00"/>
    <s v="CUST956"/>
    <x v="0"/>
    <n v="30"/>
    <x v="1"/>
    <n v="3"/>
    <n v="500"/>
    <x v="9"/>
    <x v="8"/>
    <x v="0"/>
    <x v="3"/>
  </r>
  <r>
    <n v="957"/>
    <d v="2023-08-15T00:00:00"/>
    <s v="CUST957"/>
    <x v="1"/>
    <n v="60"/>
    <x v="2"/>
    <n v="4"/>
    <n v="30"/>
    <x v="10"/>
    <x v="8"/>
    <x v="3"/>
    <x v="3"/>
  </r>
  <r>
    <n v="958"/>
    <d v="2023-06-02T00:00:00"/>
    <s v="CUST958"/>
    <x v="0"/>
    <n v="62"/>
    <x v="2"/>
    <n v="2"/>
    <n v="25"/>
    <x v="5"/>
    <x v="10"/>
    <x v="3"/>
    <x v="2"/>
  </r>
  <r>
    <n v="959"/>
    <d v="2023-10-29T00:00:00"/>
    <s v="CUST959"/>
    <x v="1"/>
    <n v="42"/>
    <x v="2"/>
    <n v="2"/>
    <n v="30"/>
    <x v="17"/>
    <x v="7"/>
    <x v="2"/>
    <x v="0"/>
  </r>
  <r>
    <n v="960"/>
    <d v="2023-08-08T00:00:00"/>
    <s v="CUST960"/>
    <x v="0"/>
    <n v="59"/>
    <x v="1"/>
    <n v="2"/>
    <n v="30"/>
    <x v="17"/>
    <x v="8"/>
    <x v="3"/>
    <x v="3"/>
  </r>
  <r>
    <n v="961"/>
    <d v="2023-06-06T00:00:00"/>
    <s v="CUST961"/>
    <x v="0"/>
    <n v="53"/>
    <x v="0"/>
    <n v="4"/>
    <n v="50"/>
    <x v="7"/>
    <x v="10"/>
    <x v="1"/>
    <x v="2"/>
  </r>
  <r>
    <n v="962"/>
    <d v="2023-10-19T00:00:00"/>
    <s v="CUST962"/>
    <x v="0"/>
    <n v="44"/>
    <x v="1"/>
    <n v="2"/>
    <n v="30"/>
    <x v="17"/>
    <x v="7"/>
    <x v="2"/>
    <x v="0"/>
  </r>
  <r>
    <n v="963"/>
    <d v="2023-11-14T00:00:00"/>
    <s v="CUST963"/>
    <x v="1"/>
    <n v="55"/>
    <x v="0"/>
    <n v="1"/>
    <n v="50"/>
    <x v="5"/>
    <x v="0"/>
    <x v="3"/>
    <x v="0"/>
  </r>
  <r>
    <n v="964"/>
    <d v="2023-01-31T00:00:00"/>
    <s v="CUST964"/>
    <x v="0"/>
    <n v="24"/>
    <x v="1"/>
    <n v="3"/>
    <n v="300"/>
    <x v="12"/>
    <x v="2"/>
    <x v="4"/>
    <x v="1"/>
  </r>
  <r>
    <n v="965"/>
    <d v="2023-11-09T00:00:00"/>
    <s v="CUST965"/>
    <x v="0"/>
    <n v="22"/>
    <x v="1"/>
    <n v="4"/>
    <n v="50"/>
    <x v="7"/>
    <x v="0"/>
    <x v="4"/>
    <x v="0"/>
  </r>
  <r>
    <n v="966"/>
    <d v="2023-02-20T00:00:00"/>
    <s v="CUST966"/>
    <x v="0"/>
    <n v="60"/>
    <x v="2"/>
    <n v="2"/>
    <n v="500"/>
    <x v="1"/>
    <x v="1"/>
    <x v="3"/>
    <x v="1"/>
  </r>
  <r>
    <n v="967"/>
    <d v="2023-04-17T00:00:00"/>
    <s v="CUST967"/>
    <x v="0"/>
    <n v="62"/>
    <x v="0"/>
    <n v="1"/>
    <n v="25"/>
    <x v="16"/>
    <x v="4"/>
    <x v="3"/>
    <x v="2"/>
  </r>
  <r>
    <n v="968"/>
    <d v="2023-11-17T00:00:00"/>
    <s v="CUST968"/>
    <x v="1"/>
    <n v="48"/>
    <x v="1"/>
    <n v="3"/>
    <n v="300"/>
    <x v="12"/>
    <x v="0"/>
    <x v="1"/>
    <x v="0"/>
  </r>
  <r>
    <n v="969"/>
    <d v="2023-04-19T00:00:00"/>
    <s v="CUST969"/>
    <x v="1"/>
    <n v="40"/>
    <x v="1"/>
    <n v="3"/>
    <n v="300"/>
    <x v="12"/>
    <x v="4"/>
    <x v="2"/>
    <x v="2"/>
  </r>
  <r>
    <n v="970"/>
    <d v="2023-05-16T00:00:00"/>
    <s v="CUST970"/>
    <x v="0"/>
    <n v="59"/>
    <x v="2"/>
    <n v="4"/>
    <n v="500"/>
    <x v="11"/>
    <x v="3"/>
    <x v="3"/>
    <x v="2"/>
  </r>
  <r>
    <n v="971"/>
    <d v="2023-12-05T00:00:00"/>
    <s v="CUST971"/>
    <x v="1"/>
    <n v="27"/>
    <x v="2"/>
    <n v="4"/>
    <n v="50"/>
    <x v="7"/>
    <x v="6"/>
    <x v="0"/>
    <x v="0"/>
  </r>
  <r>
    <n v="972"/>
    <d v="2023-02-11T00:00:00"/>
    <s v="CUST972"/>
    <x v="0"/>
    <n v="49"/>
    <x v="0"/>
    <n v="4"/>
    <n v="25"/>
    <x v="4"/>
    <x v="1"/>
    <x v="1"/>
    <x v="1"/>
  </r>
  <r>
    <n v="973"/>
    <d v="2023-03-22T00:00:00"/>
    <s v="CUST973"/>
    <x v="0"/>
    <n v="60"/>
    <x v="1"/>
    <n v="1"/>
    <n v="50"/>
    <x v="5"/>
    <x v="5"/>
    <x v="3"/>
    <x v="1"/>
  </r>
  <r>
    <n v="974"/>
    <d v="2023-05-03T00:00:00"/>
    <s v="CUST974"/>
    <x v="0"/>
    <n v="47"/>
    <x v="0"/>
    <n v="1"/>
    <n v="30"/>
    <x v="2"/>
    <x v="3"/>
    <x v="1"/>
    <x v="2"/>
  </r>
  <r>
    <n v="975"/>
    <d v="2023-03-30T00:00:00"/>
    <s v="CUST975"/>
    <x v="1"/>
    <n v="56"/>
    <x v="1"/>
    <n v="4"/>
    <n v="50"/>
    <x v="7"/>
    <x v="5"/>
    <x v="3"/>
    <x v="1"/>
  </r>
  <r>
    <n v="976"/>
    <d v="2023-10-10T00:00:00"/>
    <s v="CUST976"/>
    <x v="1"/>
    <n v="48"/>
    <x v="0"/>
    <n v="2"/>
    <n v="300"/>
    <x v="6"/>
    <x v="7"/>
    <x v="1"/>
    <x v="0"/>
  </r>
  <r>
    <n v="977"/>
    <d v="2023-02-08T00:00:00"/>
    <s v="CUST977"/>
    <x v="1"/>
    <n v="35"/>
    <x v="2"/>
    <n v="3"/>
    <n v="25"/>
    <x v="8"/>
    <x v="1"/>
    <x v="2"/>
    <x v="1"/>
  </r>
  <r>
    <n v="978"/>
    <d v="2023-03-22T00:00:00"/>
    <s v="CUST978"/>
    <x v="1"/>
    <n v="53"/>
    <x v="1"/>
    <n v="3"/>
    <n v="50"/>
    <x v="0"/>
    <x v="5"/>
    <x v="1"/>
    <x v="1"/>
  </r>
  <r>
    <n v="979"/>
    <d v="2023-01-02T00:00:00"/>
    <s v="CUST979"/>
    <x v="1"/>
    <n v="19"/>
    <x v="0"/>
    <n v="1"/>
    <n v="25"/>
    <x v="16"/>
    <x v="2"/>
    <x v="4"/>
    <x v="1"/>
  </r>
  <r>
    <n v="980"/>
    <d v="2023-07-29T00:00:00"/>
    <s v="CUST980"/>
    <x v="1"/>
    <n v="31"/>
    <x v="2"/>
    <n v="3"/>
    <n v="25"/>
    <x v="8"/>
    <x v="11"/>
    <x v="0"/>
    <x v="3"/>
  </r>
  <r>
    <n v="981"/>
    <d v="2023-08-19T00:00:00"/>
    <s v="CUST981"/>
    <x v="1"/>
    <n v="30"/>
    <x v="2"/>
    <n v="2"/>
    <n v="30"/>
    <x v="17"/>
    <x v="8"/>
    <x v="0"/>
    <x v="3"/>
  </r>
  <r>
    <n v="982"/>
    <d v="2023-12-19T00:00:00"/>
    <s v="CUST982"/>
    <x v="1"/>
    <n v="46"/>
    <x v="0"/>
    <n v="3"/>
    <n v="30"/>
    <x v="15"/>
    <x v="6"/>
    <x v="1"/>
    <x v="0"/>
  </r>
  <r>
    <n v="983"/>
    <d v="2023-11-01T00:00:00"/>
    <s v="CUST983"/>
    <x v="1"/>
    <n v="29"/>
    <x v="1"/>
    <n v="1"/>
    <n v="300"/>
    <x v="13"/>
    <x v="0"/>
    <x v="0"/>
    <x v="0"/>
  </r>
  <r>
    <n v="984"/>
    <d v="2023-08-29T00:00:00"/>
    <s v="CUST984"/>
    <x v="0"/>
    <n v="56"/>
    <x v="1"/>
    <n v="1"/>
    <n v="500"/>
    <x v="3"/>
    <x v="8"/>
    <x v="3"/>
    <x v="3"/>
  </r>
  <r>
    <n v="985"/>
    <d v="2023-05-30T00:00:00"/>
    <s v="CUST985"/>
    <x v="1"/>
    <n v="19"/>
    <x v="2"/>
    <n v="2"/>
    <n v="25"/>
    <x v="5"/>
    <x v="3"/>
    <x v="4"/>
    <x v="2"/>
  </r>
  <r>
    <n v="986"/>
    <d v="2023-01-17T00:00:00"/>
    <s v="CUST986"/>
    <x v="1"/>
    <n v="49"/>
    <x v="1"/>
    <n v="2"/>
    <n v="500"/>
    <x v="1"/>
    <x v="2"/>
    <x v="1"/>
    <x v="1"/>
  </r>
  <r>
    <n v="987"/>
    <d v="2023-04-29T00:00:00"/>
    <s v="CUST987"/>
    <x v="1"/>
    <n v="30"/>
    <x v="1"/>
    <n v="3"/>
    <n v="300"/>
    <x v="12"/>
    <x v="4"/>
    <x v="0"/>
    <x v="2"/>
  </r>
  <r>
    <n v="988"/>
    <d v="2023-05-28T00:00:00"/>
    <s v="CUST988"/>
    <x v="1"/>
    <n v="63"/>
    <x v="1"/>
    <n v="3"/>
    <n v="25"/>
    <x v="8"/>
    <x v="3"/>
    <x v="3"/>
    <x v="2"/>
  </r>
  <r>
    <n v="989"/>
    <d v="2023-12-28T00:00:00"/>
    <s v="CUST989"/>
    <x v="1"/>
    <n v="44"/>
    <x v="2"/>
    <n v="1"/>
    <n v="25"/>
    <x v="16"/>
    <x v="6"/>
    <x v="2"/>
    <x v="0"/>
  </r>
  <r>
    <n v="990"/>
    <d v="2023-05-25T00:00:00"/>
    <s v="CUST990"/>
    <x v="1"/>
    <n v="58"/>
    <x v="0"/>
    <n v="2"/>
    <n v="500"/>
    <x v="1"/>
    <x v="3"/>
    <x v="3"/>
    <x v="2"/>
  </r>
  <r>
    <n v="991"/>
    <d v="2023-12-26T00:00:00"/>
    <s v="CUST991"/>
    <x v="1"/>
    <n v="34"/>
    <x v="1"/>
    <n v="2"/>
    <n v="50"/>
    <x v="4"/>
    <x v="6"/>
    <x v="0"/>
    <x v="0"/>
  </r>
  <r>
    <n v="992"/>
    <d v="2023-08-21T00:00:00"/>
    <s v="CUST992"/>
    <x v="1"/>
    <n v="57"/>
    <x v="2"/>
    <n v="2"/>
    <n v="30"/>
    <x v="17"/>
    <x v="8"/>
    <x v="3"/>
    <x v="3"/>
  </r>
  <r>
    <n v="993"/>
    <d v="2023-02-06T00:00:00"/>
    <s v="CUST993"/>
    <x v="1"/>
    <n v="48"/>
    <x v="2"/>
    <n v="3"/>
    <n v="50"/>
    <x v="0"/>
    <x v="1"/>
    <x v="1"/>
    <x v="1"/>
  </r>
  <r>
    <n v="994"/>
    <d v="2023-12-18T00:00:00"/>
    <s v="CUST994"/>
    <x v="1"/>
    <n v="51"/>
    <x v="0"/>
    <n v="2"/>
    <n v="500"/>
    <x v="1"/>
    <x v="6"/>
    <x v="1"/>
    <x v="0"/>
  </r>
  <r>
    <n v="995"/>
    <d v="2023-04-30T00:00:00"/>
    <s v="CUST995"/>
    <x v="1"/>
    <n v="41"/>
    <x v="1"/>
    <n v="1"/>
    <n v="30"/>
    <x v="2"/>
    <x v="4"/>
    <x v="2"/>
    <x v="2"/>
  </r>
  <r>
    <n v="996"/>
    <d v="2023-05-16T00:00:00"/>
    <s v="CUST996"/>
    <x v="0"/>
    <n v="62"/>
    <x v="1"/>
    <n v="1"/>
    <n v="50"/>
    <x v="5"/>
    <x v="3"/>
    <x v="3"/>
    <x v="2"/>
  </r>
  <r>
    <n v="997"/>
    <d v="2023-11-17T00:00:00"/>
    <s v="CUST997"/>
    <x v="0"/>
    <n v="52"/>
    <x v="0"/>
    <n v="3"/>
    <n v="30"/>
    <x v="15"/>
    <x v="0"/>
    <x v="1"/>
    <x v="0"/>
  </r>
  <r>
    <n v="998"/>
    <d v="2023-10-29T00:00:00"/>
    <s v="CUST998"/>
    <x v="1"/>
    <n v="23"/>
    <x v="0"/>
    <n v="4"/>
    <n v="25"/>
    <x v="4"/>
    <x v="7"/>
    <x v="4"/>
    <x v="0"/>
  </r>
  <r>
    <n v="999"/>
    <d v="2023-12-05T00:00:00"/>
    <s v="CUST999"/>
    <x v="1"/>
    <n v="36"/>
    <x v="2"/>
    <n v="3"/>
    <n v="50"/>
    <x v="0"/>
    <x v="6"/>
    <x v="2"/>
    <x v="0"/>
  </r>
  <r>
    <n v="1000"/>
    <d v="2023-04-12T00:00:00"/>
    <s v="CUST1000"/>
    <x v="0"/>
    <n v="47"/>
    <x v="2"/>
    <n v="4"/>
    <n v="30"/>
    <x v="10"/>
    <x v="4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092A5-7B52-478F-A3EA-BE77209C228F}" name="PivotTable9" cacheId="0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95" rowHeaderCaption="Product Category">
  <location ref="A71:E78" firstHeaderRow="1" firstDataRow="2" firstDataCol="1"/>
  <pivotFields count="12">
    <pivotField showAll="0"/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8" baseField="0" baseItem="0" numFmtId="165"/>
  </dataFields>
  <formats count="1">
    <format dxfId="5">
      <pivotArea outline="0" collapsedLevelsAreSubtotals="1" fieldPosition="0"/>
    </format>
  </formats>
  <chartFormats count="6">
    <chartFormat chart="6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DE6A9-9A24-455F-A970-E15D5BC7BBE5}" name="PivotTable11" cacheId="0" dataOnRows="1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73" rowHeaderCaption="Product Category">
  <location ref="A98:B101" firstHeaderRow="1" firstDataRow="1" firstDataCol="1"/>
  <pivotFields count="12">
    <pivotField dataField="1" showAll="0"/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Average Transaction" fld="8" subtotal="average" baseField="0" baseItem="0"/>
    <dataField name="Count of Transaction ID" fld="0" subtotal="count" baseField="0" baseItem="1"/>
    <dataField name="Sum of Quantity" fld="6" baseField="0" baseItem="0"/>
  </dataFields>
  <formats count="2">
    <format dxfId="7">
      <pivotArea outline="0" collapsedLevelsAreSubtotals="1" fieldPosition="0"/>
    </format>
    <format dxfId="6">
      <pivotArea collapsedLevelsAreSubtotals="1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D2638-60C8-4C69-A8FE-0B4440B98DE6}" name="PivotTable2" cacheId="0" applyNumberFormats="0" applyBorderFormats="0" applyFontFormats="0" applyPatternFormats="0" applyAlignmentFormats="0" applyWidthHeightFormats="1" dataCaption="Values" grandTotalCaption="Total Units sold" updatedVersion="8" minRefreshableVersion="3" useAutoFormatting="1" itemPrintTitles="1" createdVersion="8" indent="0" outline="1" outlineData="1" multipleFieldFilters="0" chartFormat="16" rowHeaderCaption="Product Category">
  <location ref="A4:B8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Units sold" fld="6" subtotal="count" baseField="5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DD860-D48E-4EBD-83B7-CC6275910006}" name="PivotTable10" cacheId="0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95" rowHeaderCaption="Product Category">
  <location ref="A86:E92" firstHeaderRow="1" firstDataRow="2" firstDataCol="1"/>
  <pivotFields count="12">
    <pivotField showAll="0"/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8" baseField="0" baseItem="0"/>
  </dataFields>
  <formats count="1">
    <format dxfId="9">
      <pivotArea outline="0" collapsedLevelsAreSubtotals="1" fieldPosition="0"/>
    </format>
  </formats>
  <chartFormats count="6">
    <chartFormat chart="6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E4CFC-9579-4632-AAAD-0D9FA4B14303}" name="PivotTable8" cacheId="0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88" rowHeaderCaption="Product Category">
  <location ref="A54:B67" firstHeaderRow="1" firstDataRow="1" firstDataCol="1"/>
  <pivotFields count="12">
    <pivotField showAll="0"/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8" baseField="0" baseItem="0" numFmtId="164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9" type="button" dataOnly="0" labelOnly="1" outline="0" axis="axisRow" fieldPosition="0"/>
    </format>
    <format dxfId="12">
      <pivotArea dataOnly="0" labelOnly="1" fieldPosition="0">
        <references count="1">
          <reference field="9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2"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81361-5D3D-49C8-BCA6-AB395CEC410B}" name="PivotTable7" cacheId="0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51" rowHeaderCaption="Product Category">
  <location ref="A36:D41" firstHeaderRow="1" firstDataRow="2" firstDataCol="1"/>
  <pivotFields count="12">
    <pivotField showAll="0"/>
    <pivotField numFmtId="14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Amount" fld="8" baseField="0" baseItem="0" numFmtId="165"/>
  </dataFields>
  <formats count="1">
    <format dxfId="16">
      <pivotArea outline="0" collapsedLevelsAreSubtotals="1" fieldPosition="0"/>
    </format>
  </formats>
  <chartFormats count="2"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4FEE1-0DFC-410C-9B0A-5FF7BF92AB38}" name="PivotTable6" cacheId="0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72" rowHeaderCaption="Product Category">
  <location ref="A20:D27" firstHeaderRow="1" firstDataRow="2" firstDataCol="1"/>
  <pivotFields count="12">
    <pivotField showAll="0"/>
    <pivotField numFmtId="14"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Amount" fld="8" baseField="0" baseItem="0" numFmtId="164"/>
  </dataFields>
  <formats count="10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3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0" type="button" dataOnly="0" labelOnly="1" outline="0" axis="axisRow" fieldPosition="0"/>
    </format>
    <format dxfId="20">
      <pivotArea dataOnly="0" labelOnly="1" fieldPosition="0">
        <references count="1">
          <reference field="10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Col="1" outline="0" fieldPosition="0"/>
    </format>
  </formats>
  <chartFormats count="4"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FA6D2-9C4A-45C4-BA6B-302649ADE580}" name="PivotTable5" cacheId="0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58" rowHeaderCaption="Product Category">
  <location ref="A10:B14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" fld="8" baseField="0" baseItem="0" numFmtId="164"/>
  </dataFields>
  <formats count="1">
    <format dxfId="27">
      <pivotArea outline="0" collapsedLevelsAreSubtotals="1" fieldPosition="0"/>
    </format>
  </formats>
  <chartFormats count="8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5CE9-BBDF-4DE5-BFD3-D8BB35173508}" name="Table1" displayName="Table1" ref="A1:I1001" totalsRowShown="0">
  <autoFilter ref="A1:I1001" xr:uid="{B9405CE9-BBDF-4DE5-BFD3-D8BB35173508}"/>
  <tableColumns count="9">
    <tableColumn id="1" xr3:uid="{4CA80612-DFF5-4B81-BD39-3552A27A2138}" name="Transaction ID"/>
    <tableColumn id="2" xr3:uid="{98A710AF-B77C-471B-BFB8-DF0A9EB2B0B2}" name="Date" dataDxfId="37"/>
    <tableColumn id="3" xr3:uid="{9B1B08D7-AACB-4EBF-9741-A2D3158893D1}" name="Customer ID"/>
    <tableColumn id="4" xr3:uid="{9E09BC12-BD7F-418E-95E5-D9EE36BBDFCD}" name="Gender"/>
    <tableColumn id="5" xr3:uid="{E0C6BDBC-46BA-465C-806A-9453192FECE5}" name="Age"/>
    <tableColumn id="6" xr3:uid="{7F609AD9-739D-4FE4-8BFA-E9A4D86E673E}" name="Product Category"/>
    <tableColumn id="7" xr3:uid="{FE78D161-1B04-4E21-A952-07FD1B8BE985}" name="Quantity"/>
    <tableColumn id="8" xr3:uid="{3CBACE01-7D14-4CE2-9334-E2DE3E5C86EB}" name="Price per Unit" dataDxfId="36"/>
    <tableColumn id="9" xr3:uid="{1C3D63E2-E255-4AC0-BE23-D130C90D8DA0}" name="Total Amount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627D4F-3B20-42E0-9BF9-DCC8645A25A6}" name="Table3" displayName="Table3" ref="K1:L1001" totalsRowShown="0" headerRowDxfId="34" dataDxfId="33">
  <autoFilter ref="K1:L1001" xr:uid="{72627D4F-3B20-42E0-9BF9-DCC8645A25A6}"/>
  <tableColumns count="2">
    <tableColumn id="1" xr3:uid="{1AD176AF-BA29-4B4C-8021-25AA2975234E}" name="Age range" dataDxfId="32">
      <calculatedColumnFormula array="1">_xlfn.IFS(Table1[[#This Row],[Age]]&lt;25,"18-24",Table1[[#This Row],[Age]]&lt;35,"25-34",Table1[[#This Row],[Age]]&lt;45,"35-44",Table1[[#This Row],[Age]]&lt;55,"45-54",TRUE,"55+")</calculatedColumnFormula>
    </tableColumn>
    <tableColumn id="2" xr3:uid="{7E4DAFDE-9A76-42FF-BE42-F3376A13A1A2}" name="Quarter" dataDxfId="31">
      <calculatedColumnFormula>"Q"&amp;ROUNDUP(MONTH(Table1[[#This Row],[Date]])/3,0)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83FB45-FC60-4C3E-AB2E-EB69EB3E09E7}" name="Table4" displayName="Table4" ref="J1:J1001" totalsRowShown="0" headerRowDxfId="30" dataDxfId="29">
  <autoFilter ref="J1:J1001" xr:uid="{3183FB45-FC60-4C3E-AB2E-EB69EB3E09E7}"/>
  <tableColumns count="1">
    <tableColumn id="1" xr3:uid="{E334D97B-C1BC-4D7B-8DA8-AF24046ECC51}" name="Month" dataDxfId="28">
      <calculatedColumnFormula>TEXT(Table1[[#This Row],[Date]],"mmm")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A79CDD-65B5-4428-8987-61FAFE9542B3}" name="Table2" displayName="Table2" ref="A2:B13" headerRowCount="0" totalsRowShown="0" headerRowDxfId="2">
  <tableColumns count="2">
    <tableColumn id="1" xr3:uid="{E057318D-BADF-4EAC-BC97-18BBE86B42F2}" name="Column1" headerRowDxfId="0" dataDxfId="4"/>
    <tableColumn id="2" xr3:uid="{DAE1BB26-9A25-486A-90DB-4085BE2641B2}" name="Column2" headerRowDxfId="1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5AD7-85B4-412C-9680-F27EC562D081}">
  <dimension ref="A1:L1001"/>
  <sheetViews>
    <sheetView workbookViewId="0">
      <selection activeCell="M3" sqref="M3"/>
    </sheetView>
  </sheetViews>
  <sheetFormatPr defaultRowHeight="14.5" x14ac:dyDescent="0.35"/>
  <cols>
    <col min="1" max="1" width="14.81640625" customWidth="1"/>
    <col min="2" max="2" width="10.5429687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  <col min="11" max="11" width="10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1015</v>
      </c>
      <c r="K1" t="s">
        <v>1014</v>
      </c>
      <c r="L1" t="s">
        <v>1044</v>
      </c>
    </row>
    <row r="2" spans="1:12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5">
        <v>50</v>
      </c>
      <c r="I2" s="5">
        <v>150</v>
      </c>
      <c r="J2" s="2" t="str">
        <f>TEXT(Table1[[#This Row],[Date]],"mmm")</f>
        <v>Nov</v>
      </c>
      <c r="K2" t="str" cm="1">
        <f t="array" ref="K2">_xlfn.IFS(Table1[[#This Row],[Age]]&lt;25,"18-24",Table1[[#This Row],[Age]]&lt;35,"25-34",Table1[[#This Row],[Age]]&lt;45,"35-44",Table1[[#This Row],[Age]]&lt;55,"45-54",TRUE,"55+")</f>
        <v>25-34</v>
      </c>
      <c r="L2" s="2" t="str">
        <f>"Q"&amp;ROUNDUP(MONTH(Table1[[#This Row],[Date]])/3,0)</f>
        <v>Q4</v>
      </c>
    </row>
    <row r="3" spans="1:12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5">
        <v>500</v>
      </c>
      <c r="I3" s="5">
        <v>1000</v>
      </c>
      <c r="J3" s="2" t="str">
        <f>TEXT(Table1[[#This Row],[Date]],"mmm")</f>
        <v>Feb</v>
      </c>
      <c r="K3" t="str" cm="1">
        <f t="array" ref="K3">_xlfn.IFS(Table1[[#This Row],[Age]]&lt;25,"18-24",Table1[[#This Row],[Age]]&lt;35,"25-34",Table1[[#This Row],[Age]]&lt;45,"35-44",Table1[[#This Row],[Age]]&lt;55,"45-54",TRUE,"55+")</f>
        <v>25-34</v>
      </c>
      <c r="L3" t="str">
        <f>"Q"&amp;ROUNDUP(MONTH(Table1[[#This Row],[Date]])/3,0)</f>
        <v>Q1</v>
      </c>
    </row>
    <row r="4" spans="1:12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5">
        <v>30</v>
      </c>
      <c r="I4" s="5">
        <v>30</v>
      </c>
      <c r="J4" s="2" t="str">
        <f>TEXT(Table1[[#This Row],[Date]],"mmm")</f>
        <v>Jan</v>
      </c>
      <c r="K4" t="str" cm="1">
        <f t="array" ref="K4">_xlfn.IFS(Table1[[#This Row],[Age]]&lt;25,"18-24",Table1[[#This Row],[Age]]&lt;35,"25-34",Table1[[#This Row],[Age]]&lt;45,"35-44",Table1[[#This Row],[Age]]&lt;55,"45-54",TRUE,"55+")</f>
        <v>45-54</v>
      </c>
      <c r="L4" t="str">
        <f>"Q"&amp;ROUNDUP(MONTH(Table1[[#This Row],[Date]])/3,0)</f>
        <v>Q1</v>
      </c>
    </row>
    <row r="5" spans="1:12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5">
        <v>500</v>
      </c>
      <c r="I5" s="5">
        <v>500</v>
      </c>
      <c r="J5" s="2" t="str">
        <f>TEXT(Table1[[#This Row],[Date]],"mmm")</f>
        <v>May</v>
      </c>
      <c r="K5" t="str" cm="1">
        <f t="array" ref="K5">_xlfn.IFS(Table1[[#This Row],[Age]]&lt;25,"18-24",Table1[[#This Row],[Age]]&lt;35,"25-34",Table1[[#This Row],[Age]]&lt;45,"35-44",Table1[[#This Row],[Age]]&lt;55,"45-54",TRUE,"55+")</f>
        <v>35-44</v>
      </c>
      <c r="L5" t="str">
        <f>"Q"&amp;ROUNDUP(MONTH(Table1[[#This Row],[Date]])/3,0)</f>
        <v>Q2</v>
      </c>
    </row>
    <row r="6" spans="1:12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5">
        <v>50</v>
      </c>
      <c r="I6" s="5">
        <v>100</v>
      </c>
      <c r="J6" s="2" t="str">
        <f>TEXT(Table1[[#This Row],[Date]],"mmm")</f>
        <v>May</v>
      </c>
      <c r="K6" t="str" cm="1">
        <f t="array" ref="K6">_xlfn.IFS(Table1[[#This Row],[Age]]&lt;25,"18-24",Table1[[#This Row],[Age]]&lt;35,"25-34",Table1[[#This Row],[Age]]&lt;45,"35-44",Table1[[#This Row],[Age]]&lt;55,"45-54",TRUE,"55+")</f>
        <v>25-34</v>
      </c>
      <c r="L6" t="str">
        <f>"Q"&amp;ROUNDUP(MONTH(Table1[[#This Row],[Date]])/3,0)</f>
        <v>Q2</v>
      </c>
    </row>
    <row r="7" spans="1:12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5">
        <v>30</v>
      </c>
      <c r="I7" s="5">
        <v>30</v>
      </c>
      <c r="J7" s="2" t="str">
        <f>TEXT(Table1[[#This Row],[Date]],"mmm")</f>
        <v>Apr</v>
      </c>
      <c r="K7" t="str" cm="1">
        <f t="array" ref="K7">_xlfn.IFS(Table1[[#This Row],[Age]]&lt;25,"18-24",Table1[[#This Row],[Age]]&lt;35,"25-34",Table1[[#This Row],[Age]]&lt;45,"35-44",Table1[[#This Row],[Age]]&lt;55,"45-54",TRUE,"55+")</f>
        <v>45-54</v>
      </c>
      <c r="L7" t="str">
        <f>"Q"&amp;ROUNDUP(MONTH(Table1[[#This Row],[Date]])/3,0)</f>
        <v>Q2</v>
      </c>
    </row>
    <row r="8" spans="1:12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5">
        <v>25</v>
      </c>
      <c r="I8" s="5">
        <v>50</v>
      </c>
      <c r="J8" s="2" t="str">
        <f>TEXT(Table1[[#This Row],[Date]],"mmm")</f>
        <v>Mar</v>
      </c>
      <c r="K8" t="str" cm="1">
        <f t="array" ref="K8">_xlfn.IFS(Table1[[#This Row],[Age]]&lt;25,"18-24",Table1[[#This Row],[Age]]&lt;35,"25-34",Table1[[#This Row],[Age]]&lt;45,"35-44",Table1[[#This Row],[Age]]&lt;55,"45-54",TRUE,"55+")</f>
        <v>45-54</v>
      </c>
      <c r="L8" t="str">
        <f>"Q"&amp;ROUNDUP(MONTH(Table1[[#This Row],[Date]])/3,0)</f>
        <v>Q1</v>
      </c>
    </row>
    <row r="9" spans="1:12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5">
        <v>25</v>
      </c>
      <c r="I9" s="5">
        <v>100</v>
      </c>
      <c r="J9" s="2" t="str">
        <f>TEXT(Table1[[#This Row],[Date]],"mmm")</f>
        <v>Feb</v>
      </c>
      <c r="K9" t="str" cm="1">
        <f t="array" ref="K9">_xlfn.IFS(Table1[[#This Row],[Age]]&lt;25,"18-24",Table1[[#This Row],[Age]]&lt;35,"25-34",Table1[[#This Row],[Age]]&lt;45,"35-44",Table1[[#This Row],[Age]]&lt;55,"45-54",TRUE,"55+")</f>
        <v>25-34</v>
      </c>
      <c r="L9" t="str">
        <f>"Q"&amp;ROUNDUP(MONTH(Table1[[#This Row],[Date]])/3,0)</f>
        <v>Q1</v>
      </c>
    </row>
    <row r="10" spans="1:12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5">
        <v>300</v>
      </c>
      <c r="I10" s="5">
        <v>600</v>
      </c>
      <c r="J10" s="2" t="str">
        <f>TEXT(Table1[[#This Row],[Date]],"mmm")</f>
        <v>Dec</v>
      </c>
      <c r="K10" t="str" cm="1">
        <f t="array" ref="K10">_xlfn.IFS(Table1[[#This Row],[Age]]&lt;25,"18-24",Table1[[#This Row],[Age]]&lt;35,"25-34",Table1[[#This Row],[Age]]&lt;45,"35-44",Table1[[#This Row],[Age]]&lt;55,"45-54",TRUE,"55+")</f>
        <v>55+</v>
      </c>
      <c r="L10" t="str">
        <f>"Q"&amp;ROUNDUP(MONTH(Table1[[#This Row],[Date]])/3,0)</f>
        <v>Q4</v>
      </c>
    </row>
    <row r="11" spans="1:12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5">
        <v>50</v>
      </c>
      <c r="I11" s="5">
        <v>200</v>
      </c>
      <c r="J11" s="2" t="str">
        <f>TEXT(Table1[[#This Row],[Date]],"mmm")</f>
        <v>Oct</v>
      </c>
      <c r="K11" t="str" cm="1">
        <f t="array" ref="K11">_xlfn.IFS(Table1[[#This Row],[Age]]&lt;25,"18-24",Table1[[#This Row],[Age]]&lt;35,"25-34",Table1[[#This Row],[Age]]&lt;45,"35-44",Table1[[#This Row],[Age]]&lt;55,"45-54",TRUE,"55+")</f>
        <v>45-54</v>
      </c>
      <c r="L11" t="str">
        <f>"Q"&amp;ROUNDUP(MONTH(Table1[[#This Row],[Date]])/3,0)</f>
        <v>Q4</v>
      </c>
    </row>
    <row r="12" spans="1:12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5">
        <v>50</v>
      </c>
      <c r="I12" s="5">
        <v>100</v>
      </c>
      <c r="J12" s="2" t="str">
        <f>TEXT(Table1[[#This Row],[Date]],"mmm")</f>
        <v>Feb</v>
      </c>
      <c r="K12" t="str" cm="1">
        <f t="array" ref="K12">_xlfn.IFS(Table1[[#This Row],[Age]]&lt;25,"18-24",Table1[[#This Row],[Age]]&lt;35,"25-34",Table1[[#This Row],[Age]]&lt;45,"35-44",Table1[[#This Row],[Age]]&lt;55,"45-54",TRUE,"55+")</f>
        <v>18-24</v>
      </c>
      <c r="L12" t="str">
        <f>"Q"&amp;ROUNDUP(MONTH(Table1[[#This Row],[Date]])/3,0)</f>
        <v>Q1</v>
      </c>
    </row>
    <row r="13" spans="1:12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5">
        <v>25</v>
      </c>
      <c r="I13" s="5">
        <v>75</v>
      </c>
      <c r="J13" s="2" t="str">
        <f>TEXT(Table1[[#This Row],[Date]],"mmm")</f>
        <v>Oct</v>
      </c>
      <c r="K13" t="str" cm="1">
        <f t="array" ref="K13">_xlfn.IFS(Table1[[#This Row],[Age]]&lt;25,"18-24",Table1[[#This Row],[Age]]&lt;35,"25-34",Table1[[#This Row],[Age]]&lt;45,"35-44",Table1[[#This Row],[Age]]&lt;55,"45-54",TRUE,"55+")</f>
        <v>35-44</v>
      </c>
      <c r="L13" t="str">
        <f>"Q"&amp;ROUNDUP(MONTH(Table1[[#This Row],[Date]])/3,0)</f>
        <v>Q4</v>
      </c>
    </row>
    <row r="14" spans="1:12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5">
        <v>500</v>
      </c>
      <c r="I14" s="5">
        <v>1500</v>
      </c>
      <c r="J14" s="2" t="str">
        <f>TEXT(Table1[[#This Row],[Date]],"mmm")</f>
        <v>Aug</v>
      </c>
      <c r="K14" t="str" cm="1">
        <f t="array" ref="K14">_xlfn.IFS(Table1[[#This Row],[Age]]&lt;25,"18-24",Table1[[#This Row],[Age]]&lt;35,"25-34",Table1[[#This Row],[Age]]&lt;45,"35-44",Table1[[#This Row],[Age]]&lt;55,"45-54",TRUE,"55+")</f>
        <v>18-24</v>
      </c>
      <c r="L14" t="str">
        <f>"Q"&amp;ROUNDUP(MONTH(Table1[[#This Row],[Date]])/3,0)</f>
        <v>Q3</v>
      </c>
    </row>
    <row r="15" spans="1:12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5">
        <v>30</v>
      </c>
      <c r="I15" s="5">
        <v>120</v>
      </c>
      <c r="J15" s="2" t="str">
        <f>TEXT(Table1[[#This Row],[Date]],"mmm")</f>
        <v>Jan</v>
      </c>
      <c r="K15" t="str" cm="1">
        <f t="array" ref="K15">_xlfn.IFS(Table1[[#This Row],[Age]]&lt;25,"18-24",Table1[[#This Row],[Age]]&lt;35,"25-34",Table1[[#This Row],[Age]]&lt;45,"35-44",Table1[[#This Row],[Age]]&lt;55,"45-54",TRUE,"55+")</f>
        <v>55+</v>
      </c>
      <c r="L15" t="str">
        <f>"Q"&amp;ROUNDUP(MONTH(Table1[[#This Row],[Date]])/3,0)</f>
        <v>Q1</v>
      </c>
    </row>
    <row r="16" spans="1:12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5">
        <v>500</v>
      </c>
      <c r="I16" s="5">
        <v>2000</v>
      </c>
      <c r="J16" s="2" t="str">
        <f>TEXT(Table1[[#This Row],[Date]],"mmm")</f>
        <v>Jan</v>
      </c>
      <c r="K16" t="str" cm="1">
        <f t="array" ref="K16">_xlfn.IFS(Table1[[#This Row],[Age]]&lt;25,"18-24",Table1[[#This Row],[Age]]&lt;35,"25-34",Table1[[#This Row],[Age]]&lt;45,"35-44",Table1[[#This Row],[Age]]&lt;55,"45-54",TRUE,"55+")</f>
        <v>35-44</v>
      </c>
      <c r="L16" t="str">
        <f>"Q"&amp;ROUNDUP(MONTH(Table1[[#This Row],[Date]])/3,0)</f>
        <v>Q1</v>
      </c>
    </row>
    <row r="17" spans="1:12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5">
        <v>500</v>
      </c>
      <c r="I17" s="5">
        <v>1500</v>
      </c>
      <c r="J17" s="2" t="str">
        <f>TEXT(Table1[[#This Row],[Date]],"mmm")</f>
        <v>Feb</v>
      </c>
      <c r="K17" t="str" cm="1">
        <f t="array" ref="K17">_xlfn.IFS(Table1[[#This Row],[Age]]&lt;25,"18-24",Table1[[#This Row],[Age]]&lt;35,"25-34",Table1[[#This Row],[Age]]&lt;45,"35-44",Table1[[#This Row],[Age]]&lt;55,"45-54",TRUE,"55+")</f>
        <v>18-24</v>
      </c>
      <c r="L17" t="str">
        <f>"Q"&amp;ROUNDUP(MONTH(Table1[[#This Row],[Date]])/3,0)</f>
        <v>Q1</v>
      </c>
    </row>
    <row r="18" spans="1:12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5">
        <v>25</v>
      </c>
      <c r="I18" s="5">
        <v>100</v>
      </c>
      <c r="J18" s="2" t="str">
        <f>TEXT(Table1[[#This Row],[Date]],"mmm")</f>
        <v>Apr</v>
      </c>
      <c r="K18" t="str" cm="1">
        <f t="array" ref="K18">_xlfn.IFS(Table1[[#This Row],[Age]]&lt;25,"18-24",Table1[[#This Row],[Age]]&lt;35,"25-34",Table1[[#This Row],[Age]]&lt;45,"35-44",Table1[[#This Row],[Age]]&lt;55,"45-54",TRUE,"55+")</f>
        <v>25-34</v>
      </c>
      <c r="L18" t="str">
        <f>"Q"&amp;ROUNDUP(MONTH(Table1[[#This Row],[Date]])/3,0)</f>
        <v>Q2</v>
      </c>
    </row>
    <row r="19" spans="1:12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5">
        <v>25</v>
      </c>
      <c r="I19" s="5">
        <v>50</v>
      </c>
      <c r="J19" s="2" t="str">
        <f>TEXT(Table1[[#This Row],[Date]],"mmm")</f>
        <v>Apr</v>
      </c>
      <c r="K19" t="str" cm="1">
        <f t="array" ref="K19">_xlfn.IFS(Table1[[#This Row],[Age]]&lt;25,"18-24",Table1[[#This Row],[Age]]&lt;35,"25-34",Table1[[#This Row],[Age]]&lt;45,"35-44",Table1[[#This Row],[Age]]&lt;55,"45-54",TRUE,"55+")</f>
        <v>45-54</v>
      </c>
      <c r="L19" t="str">
        <f>"Q"&amp;ROUNDUP(MONTH(Table1[[#This Row],[Date]])/3,0)</f>
        <v>Q2</v>
      </c>
    </row>
    <row r="20" spans="1:12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5">
        <v>25</v>
      </c>
      <c r="I20" s="5">
        <v>50</v>
      </c>
      <c r="J20" s="2" t="str">
        <f>TEXT(Table1[[#This Row],[Date]],"mmm")</f>
        <v>Sep</v>
      </c>
      <c r="K20" t="str" cm="1">
        <f t="array" ref="K20">_xlfn.IFS(Table1[[#This Row],[Age]]&lt;25,"18-24",Table1[[#This Row],[Age]]&lt;35,"25-34",Table1[[#This Row],[Age]]&lt;45,"35-44",Table1[[#This Row],[Age]]&lt;55,"45-54",TRUE,"55+")</f>
        <v>55+</v>
      </c>
      <c r="L20" t="str">
        <f>"Q"&amp;ROUNDUP(MONTH(Table1[[#This Row],[Date]])/3,0)</f>
        <v>Q3</v>
      </c>
    </row>
    <row r="21" spans="1:12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5">
        <v>300</v>
      </c>
      <c r="I21" s="5">
        <v>900</v>
      </c>
      <c r="J21" s="2" t="str">
        <f>TEXT(Table1[[#This Row],[Date]],"mmm")</f>
        <v>Nov</v>
      </c>
      <c r="K21" t="str" cm="1">
        <f t="array" ref="K21">_xlfn.IFS(Table1[[#This Row],[Age]]&lt;25,"18-24",Table1[[#This Row],[Age]]&lt;35,"25-34",Table1[[#This Row],[Age]]&lt;45,"35-44",Table1[[#This Row],[Age]]&lt;55,"45-54",TRUE,"55+")</f>
        <v>18-24</v>
      </c>
      <c r="L21" t="str">
        <f>"Q"&amp;ROUNDUP(MONTH(Table1[[#This Row],[Date]])/3,0)</f>
        <v>Q4</v>
      </c>
    </row>
    <row r="22" spans="1:12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5">
        <v>500</v>
      </c>
      <c r="I22" s="5">
        <v>500</v>
      </c>
      <c r="J22" s="2" t="str">
        <f>TEXT(Table1[[#This Row],[Date]],"mmm")</f>
        <v>Jan</v>
      </c>
      <c r="K22" t="str" cm="1">
        <f t="array" ref="K22">_xlfn.IFS(Table1[[#This Row],[Age]]&lt;25,"18-24",Table1[[#This Row],[Age]]&lt;35,"25-34",Table1[[#This Row],[Age]]&lt;45,"35-44",Table1[[#This Row],[Age]]&lt;55,"45-54",TRUE,"55+")</f>
        <v>45-54</v>
      </c>
      <c r="L22" t="str">
        <f>"Q"&amp;ROUNDUP(MONTH(Table1[[#This Row],[Date]])/3,0)</f>
        <v>Q1</v>
      </c>
    </row>
    <row r="23" spans="1:12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5">
        <v>50</v>
      </c>
      <c r="I23" s="5">
        <v>100</v>
      </c>
      <c r="J23" s="2" t="str">
        <f>TEXT(Table1[[#This Row],[Date]],"mmm")</f>
        <v>Oct</v>
      </c>
      <c r="K23" t="str" cm="1">
        <f t="array" ref="K23">_xlfn.IFS(Table1[[#This Row],[Age]]&lt;25,"18-24",Table1[[#This Row],[Age]]&lt;35,"25-34",Table1[[#This Row],[Age]]&lt;45,"35-44",Table1[[#This Row],[Age]]&lt;55,"45-54",TRUE,"55+")</f>
        <v>18-24</v>
      </c>
      <c r="L23" t="str">
        <f>"Q"&amp;ROUNDUP(MONTH(Table1[[#This Row],[Date]])/3,0)</f>
        <v>Q4</v>
      </c>
    </row>
    <row r="24" spans="1:12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5">
        <v>30</v>
      </c>
      <c r="I24" s="5">
        <v>120</v>
      </c>
      <c r="J24" s="2" t="str">
        <f>TEXT(Table1[[#This Row],[Date]],"mmm")</f>
        <v>Apr</v>
      </c>
      <c r="K24" t="str" cm="1">
        <f t="array" ref="K24">_xlfn.IFS(Table1[[#This Row],[Age]]&lt;25,"18-24",Table1[[#This Row],[Age]]&lt;35,"25-34",Table1[[#This Row],[Age]]&lt;45,"35-44",Table1[[#This Row],[Age]]&lt;55,"45-54",TRUE,"55+")</f>
        <v>35-44</v>
      </c>
      <c r="L24" t="str">
        <f>"Q"&amp;ROUNDUP(MONTH(Table1[[#This Row],[Date]])/3,0)</f>
        <v>Q2</v>
      </c>
    </row>
    <row r="25" spans="1:12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5">
        <v>300</v>
      </c>
      <c r="I25" s="5">
        <v>300</v>
      </c>
      <c r="J25" s="2" t="str">
        <f>TEXT(Table1[[#This Row],[Date]],"mmm")</f>
        <v>Nov</v>
      </c>
      <c r="K25" t="str" cm="1">
        <f t="array" ref="K25">_xlfn.IFS(Table1[[#This Row],[Age]]&lt;25,"18-24",Table1[[#This Row],[Age]]&lt;35,"25-34",Table1[[#This Row],[Age]]&lt;45,"35-44",Table1[[#This Row],[Age]]&lt;55,"45-54",TRUE,"55+")</f>
        <v>45-54</v>
      </c>
      <c r="L25" t="str">
        <f>"Q"&amp;ROUNDUP(MONTH(Table1[[#This Row],[Date]])/3,0)</f>
        <v>Q4</v>
      </c>
    </row>
    <row r="26" spans="1:12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5">
        <v>50</v>
      </c>
      <c r="I26" s="5">
        <v>50</v>
      </c>
      <c r="J26" s="2" t="str">
        <f>TEXT(Table1[[#This Row],[Date]],"mmm")</f>
        <v>Dec</v>
      </c>
      <c r="K26" t="str" cm="1">
        <f t="array" ref="K26">_xlfn.IFS(Table1[[#This Row],[Age]]&lt;25,"18-24",Table1[[#This Row],[Age]]&lt;35,"25-34",Table1[[#This Row],[Age]]&lt;45,"35-44",Table1[[#This Row],[Age]]&lt;55,"45-54",TRUE,"55+")</f>
        <v>55+</v>
      </c>
      <c r="L26" t="str">
        <f>"Q"&amp;ROUNDUP(MONTH(Table1[[#This Row],[Date]])/3,0)</f>
        <v>Q4</v>
      </c>
    </row>
    <row r="27" spans="1:12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5">
        <v>500</v>
      </c>
      <c r="I27" s="5">
        <v>1000</v>
      </c>
      <c r="J27" s="2" t="str">
        <f>TEXT(Table1[[#This Row],[Date]],"mmm")</f>
        <v>Oct</v>
      </c>
      <c r="K27" t="str" cm="1">
        <f t="array" ref="K27">_xlfn.IFS(Table1[[#This Row],[Age]]&lt;25,"18-24",Table1[[#This Row],[Age]]&lt;35,"25-34",Table1[[#This Row],[Age]]&lt;45,"35-44",Table1[[#This Row],[Age]]&lt;55,"45-54",TRUE,"55+")</f>
        <v>25-34</v>
      </c>
      <c r="L27" t="str">
        <f>"Q"&amp;ROUNDUP(MONTH(Table1[[#This Row],[Date]])/3,0)</f>
        <v>Q4</v>
      </c>
    </row>
    <row r="28" spans="1:12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5">
        <v>25</v>
      </c>
      <c r="I28" s="5">
        <v>50</v>
      </c>
      <c r="J28" s="2" t="str">
        <f>TEXT(Table1[[#This Row],[Date]],"mmm")</f>
        <v>Aug</v>
      </c>
      <c r="K28" t="str" cm="1">
        <f t="array" ref="K28">_xlfn.IFS(Table1[[#This Row],[Age]]&lt;25,"18-24",Table1[[#This Row],[Age]]&lt;35,"25-34",Table1[[#This Row],[Age]]&lt;45,"35-44",Table1[[#This Row],[Age]]&lt;55,"45-54",TRUE,"55+")</f>
        <v>35-44</v>
      </c>
      <c r="L28" t="str">
        <f>"Q"&amp;ROUNDUP(MONTH(Table1[[#This Row],[Date]])/3,0)</f>
        <v>Q3</v>
      </c>
    </row>
    <row r="29" spans="1:12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5">
        <v>500</v>
      </c>
      <c r="I29" s="5">
        <v>500</v>
      </c>
      <c r="J29" s="2" t="str">
        <f>TEXT(Table1[[#This Row],[Date]],"mmm")</f>
        <v>Apr</v>
      </c>
      <c r="K29" t="str" cm="1">
        <f t="array" ref="K29">_xlfn.IFS(Table1[[#This Row],[Age]]&lt;25,"18-24",Table1[[#This Row],[Age]]&lt;35,"25-34",Table1[[#This Row],[Age]]&lt;45,"35-44",Table1[[#This Row],[Age]]&lt;55,"45-54",TRUE,"55+")</f>
        <v>35-44</v>
      </c>
      <c r="L29" t="str">
        <f>"Q"&amp;ROUNDUP(MONTH(Table1[[#This Row],[Date]])/3,0)</f>
        <v>Q2</v>
      </c>
    </row>
    <row r="30" spans="1:12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5">
        <v>30</v>
      </c>
      <c r="I30" s="5">
        <v>30</v>
      </c>
      <c r="J30" s="2" t="str">
        <f>TEXT(Table1[[#This Row],[Date]],"mmm")</f>
        <v>Aug</v>
      </c>
      <c r="K30" t="str" cm="1">
        <f t="array" ref="K30">_xlfn.IFS(Table1[[#This Row],[Age]]&lt;25,"18-24",Table1[[#This Row],[Age]]&lt;35,"25-34",Table1[[#This Row],[Age]]&lt;45,"35-44",Table1[[#This Row],[Age]]&lt;55,"45-54",TRUE,"55+")</f>
        <v>35-44</v>
      </c>
      <c r="L30" t="str">
        <f>"Q"&amp;ROUNDUP(MONTH(Table1[[#This Row],[Date]])/3,0)</f>
        <v>Q3</v>
      </c>
    </row>
    <row r="31" spans="1:12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5">
        <v>300</v>
      </c>
      <c r="I31" s="5">
        <v>900</v>
      </c>
      <c r="J31" s="2" t="str">
        <f>TEXT(Table1[[#This Row],[Date]],"mmm")</f>
        <v>Oct</v>
      </c>
      <c r="K31" t="str" cm="1">
        <f t="array" ref="K31">_xlfn.IFS(Table1[[#This Row],[Age]]&lt;25,"18-24",Table1[[#This Row],[Age]]&lt;35,"25-34",Table1[[#This Row],[Age]]&lt;45,"35-44",Table1[[#This Row],[Age]]&lt;55,"45-54",TRUE,"55+")</f>
        <v>35-44</v>
      </c>
      <c r="L31" t="str">
        <f>"Q"&amp;ROUNDUP(MONTH(Table1[[#This Row],[Date]])/3,0)</f>
        <v>Q4</v>
      </c>
    </row>
    <row r="32" spans="1:12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5">
        <v>300</v>
      </c>
      <c r="I32" s="5">
        <v>1200</v>
      </c>
      <c r="J32" s="2" t="str">
        <f>TEXT(Table1[[#This Row],[Date]],"mmm")</f>
        <v>May</v>
      </c>
      <c r="K32" t="str" cm="1">
        <f t="array" ref="K32">_xlfn.IFS(Table1[[#This Row],[Age]]&lt;25,"18-24",Table1[[#This Row],[Age]]&lt;35,"25-34",Table1[[#This Row],[Age]]&lt;45,"35-44",Table1[[#This Row],[Age]]&lt;55,"45-54",TRUE,"55+")</f>
        <v>35-44</v>
      </c>
      <c r="L32" t="str">
        <f>"Q"&amp;ROUNDUP(MONTH(Table1[[#This Row],[Date]])/3,0)</f>
        <v>Q2</v>
      </c>
    </row>
    <row r="33" spans="1:12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5">
        <v>30</v>
      </c>
      <c r="I33" s="5">
        <v>90</v>
      </c>
      <c r="J33" s="2" t="str">
        <f>TEXT(Table1[[#This Row],[Date]],"mmm")</f>
        <v>Jan</v>
      </c>
      <c r="K33" t="str" cm="1">
        <f t="array" ref="K33">_xlfn.IFS(Table1[[#This Row],[Age]]&lt;25,"18-24",Table1[[#This Row],[Age]]&lt;35,"25-34",Table1[[#This Row],[Age]]&lt;45,"35-44",Table1[[#This Row],[Age]]&lt;55,"45-54",TRUE,"55+")</f>
        <v>25-34</v>
      </c>
      <c r="L33" t="str">
        <f>"Q"&amp;ROUNDUP(MONTH(Table1[[#This Row],[Date]])/3,0)</f>
        <v>Q1</v>
      </c>
    </row>
    <row r="34" spans="1:12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5">
        <v>50</v>
      </c>
      <c r="I34" s="5">
        <v>100</v>
      </c>
      <c r="J34" s="2" t="str">
        <f>TEXT(Table1[[#This Row],[Date]],"mmm")</f>
        <v>Mar</v>
      </c>
      <c r="K34" t="str" cm="1">
        <f t="array" ref="K34">_xlfn.IFS(Table1[[#This Row],[Age]]&lt;25,"18-24",Table1[[#This Row],[Age]]&lt;35,"25-34",Table1[[#This Row],[Age]]&lt;45,"35-44",Table1[[#This Row],[Age]]&lt;55,"45-54",TRUE,"55+")</f>
        <v>45-54</v>
      </c>
      <c r="L34" t="str">
        <f>"Q"&amp;ROUNDUP(MONTH(Table1[[#This Row],[Date]])/3,0)</f>
        <v>Q1</v>
      </c>
    </row>
    <row r="35" spans="1:12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5">
        <v>50</v>
      </c>
      <c r="I35" s="5">
        <v>150</v>
      </c>
      <c r="J35" s="2" t="str">
        <f>TEXT(Table1[[#This Row],[Date]],"mmm")</f>
        <v>Dec</v>
      </c>
      <c r="K35" t="str" cm="1">
        <f t="array" ref="K35">_xlfn.IFS(Table1[[#This Row],[Age]]&lt;25,"18-24",Table1[[#This Row],[Age]]&lt;35,"25-34",Table1[[#This Row],[Age]]&lt;45,"35-44",Table1[[#This Row],[Age]]&lt;55,"45-54",TRUE,"55+")</f>
        <v>45-54</v>
      </c>
      <c r="L35" t="str">
        <f>"Q"&amp;ROUNDUP(MONTH(Table1[[#This Row],[Date]])/3,0)</f>
        <v>Q4</v>
      </c>
    </row>
    <row r="36" spans="1:12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5">
        <v>300</v>
      </c>
      <c r="I36" s="5">
        <v>900</v>
      </c>
      <c r="J36" s="2" t="str">
        <f>TEXT(Table1[[#This Row],[Date]],"mmm")</f>
        <v>Aug</v>
      </c>
      <c r="K36" t="str" cm="1">
        <f t="array" ref="K36">_xlfn.IFS(Table1[[#This Row],[Age]]&lt;25,"18-24",Table1[[#This Row],[Age]]&lt;35,"25-34",Table1[[#This Row],[Age]]&lt;45,"35-44",Table1[[#This Row],[Age]]&lt;55,"45-54",TRUE,"55+")</f>
        <v>55+</v>
      </c>
      <c r="L36" t="str">
        <f>"Q"&amp;ROUNDUP(MONTH(Table1[[#This Row],[Date]])/3,0)</f>
        <v>Q3</v>
      </c>
    </row>
    <row r="37" spans="1:12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5">
        <v>300</v>
      </c>
      <c r="I37" s="5">
        <v>900</v>
      </c>
      <c r="J37" s="2" t="str">
        <f>TEXT(Table1[[#This Row],[Date]],"mmm")</f>
        <v>Jun</v>
      </c>
      <c r="K37" t="str" cm="1">
        <f t="array" ref="K37">_xlfn.IFS(Table1[[#This Row],[Age]]&lt;25,"18-24",Table1[[#This Row],[Age]]&lt;35,"25-34",Table1[[#This Row],[Age]]&lt;45,"35-44",Table1[[#This Row],[Age]]&lt;55,"45-54",TRUE,"55+")</f>
        <v>45-54</v>
      </c>
      <c r="L37" t="str">
        <f>"Q"&amp;ROUNDUP(MONTH(Table1[[#This Row],[Date]])/3,0)</f>
        <v>Q2</v>
      </c>
    </row>
    <row r="38" spans="1:12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5">
        <v>25</v>
      </c>
      <c r="I38" s="5">
        <v>75</v>
      </c>
      <c r="J38" s="2" t="str">
        <f>TEXT(Table1[[#This Row],[Date]],"mmm")</f>
        <v>May</v>
      </c>
      <c r="K38" t="str" cm="1">
        <f t="array" ref="K38">_xlfn.IFS(Table1[[#This Row],[Age]]&lt;25,"18-24",Table1[[#This Row],[Age]]&lt;35,"25-34",Table1[[#This Row],[Age]]&lt;45,"35-44",Table1[[#This Row],[Age]]&lt;55,"45-54",TRUE,"55+")</f>
        <v>18-24</v>
      </c>
      <c r="L38" t="str">
        <f>"Q"&amp;ROUNDUP(MONTH(Table1[[#This Row],[Date]])/3,0)</f>
        <v>Q2</v>
      </c>
    </row>
    <row r="39" spans="1:12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5">
        <v>50</v>
      </c>
      <c r="I39" s="5">
        <v>200</v>
      </c>
      <c r="J39" s="2" t="str">
        <f>TEXT(Table1[[#This Row],[Date]],"mmm")</f>
        <v>Mar</v>
      </c>
      <c r="K39" t="str" cm="1">
        <f t="array" ref="K39">_xlfn.IFS(Table1[[#This Row],[Age]]&lt;25,"18-24",Table1[[#This Row],[Age]]&lt;35,"25-34",Table1[[#This Row],[Age]]&lt;45,"35-44",Table1[[#This Row],[Age]]&lt;55,"45-54",TRUE,"55+")</f>
        <v>35-44</v>
      </c>
      <c r="L39" t="str">
        <f>"Q"&amp;ROUNDUP(MONTH(Table1[[#This Row],[Date]])/3,0)</f>
        <v>Q1</v>
      </c>
    </row>
    <row r="40" spans="1:12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5">
        <v>30</v>
      </c>
      <c r="I40" s="5">
        <v>120</v>
      </c>
      <c r="J40" s="2" t="str">
        <f>TEXT(Table1[[#This Row],[Date]],"mmm")</f>
        <v>Apr</v>
      </c>
      <c r="K40" t="str" cm="1">
        <f t="array" ref="K40">_xlfn.IFS(Table1[[#This Row],[Age]]&lt;25,"18-24",Table1[[#This Row],[Age]]&lt;35,"25-34",Table1[[#This Row],[Age]]&lt;45,"35-44",Table1[[#This Row],[Age]]&lt;55,"45-54",TRUE,"55+")</f>
        <v>18-24</v>
      </c>
      <c r="L40" t="str">
        <f>"Q"&amp;ROUNDUP(MONTH(Table1[[#This Row],[Date]])/3,0)</f>
        <v>Q2</v>
      </c>
    </row>
    <row r="41" spans="1:12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5">
        <v>50</v>
      </c>
      <c r="I41" s="5">
        <v>50</v>
      </c>
      <c r="J41" s="2" t="str">
        <f>TEXT(Table1[[#This Row],[Date]],"mmm")</f>
        <v>Jun</v>
      </c>
      <c r="K41" t="str" cm="1">
        <f t="array" ref="K41">_xlfn.IFS(Table1[[#This Row],[Age]]&lt;25,"18-24",Table1[[#This Row],[Age]]&lt;35,"25-34",Table1[[#This Row],[Age]]&lt;45,"35-44",Table1[[#This Row],[Age]]&lt;55,"45-54",TRUE,"55+")</f>
        <v>45-54</v>
      </c>
      <c r="L41" t="str">
        <f>"Q"&amp;ROUNDUP(MONTH(Table1[[#This Row],[Date]])/3,0)</f>
        <v>Q2</v>
      </c>
    </row>
    <row r="42" spans="1:12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5">
        <v>25</v>
      </c>
      <c r="I42" s="5">
        <v>50</v>
      </c>
      <c r="J42" s="2" t="str">
        <f>TEXT(Table1[[#This Row],[Date]],"mmm")</f>
        <v>Feb</v>
      </c>
      <c r="K42" t="str" cm="1">
        <f t="array" ref="K42">_xlfn.IFS(Table1[[#This Row],[Age]]&lt;25,"18-24",Table1[[#This Row],[Age]]&lt;35,"25-34",Table1[[#This Row],[Age]]&lt;45,"35-44",Table1[[#This Row],[Age]]&lt;55,"45-54",TRUE,"55+")</f>
        <v>25-34</v>
      </c>
      <c r="L42" t="str">
        <f>"Q"&amp;ROUNDUP(MONTH(Table1[[#This Row],[Date]])/3,0)</f>
        <v>Q1</v>
      </c>
    </row>
    <row r="43" spans="1:12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5">
        <v>300</v>
      </c>
      <c r="I43" s="5">
        <v>900</v>
      </c>
      <c r="J43" s="2" t="str">
        <f>TEXT(Table1[[#This Row],[Date]],"mmm")</f>
        <v>Feb</v>
      </c>
      <c r="K43" t="str" cm="1">
        <f t="array" ref="K43">_xlfn.IFS(Table1[[#This Row],[Age]]&lt;25,"18-24",Table1[[#This Row],[Age]]&lt;35,"25-34",Table1[[#This Row],[Age]]&lt;45,"35-44",Table1[[#This Row],[Age]]&lt;55,"45-54",TRUE,"55+")</f>
        <v>18-24</v>
      </c>
      <c r="L43" t="str">
        <f>"Q"&amp;ROUNDUP(MONTH(Table1[[#This Row],[Date]])/3,0)</f>
        <v>Q1</v>
      </c>
    </row>
    <row r="44" spans="1:12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5">
        <v>300</v>
      </c>
      <c r="I44" s="5">
        <v>300</v>
      </c>
      <c r="J44" s="2" t="str">
        <f>TEXT(Table1[[#This Row],[Date]],"mmm")</f>
        <v>Jul</v>
      </c>
      <c r="K44" t="str" cm="1">
        <f t="array" ref="K44">_xlfn.IFS(Table1[[#This Row],[Age]]&lt;25,"18-24",Table1[[#This Row],[Age]]&lt;35,"25-34",Table1[[#This Row],[Age]]&lt;45,"35-44",Table1[[#This Row],[Age]]&lt;55,"45-54",TRUE,"55+")</f>
        <v>45-54</v>
      </c>
      <c r="L44" t="str">
        <f>"Q"&amp;ROUNDUP(MONTH(Table1[[#This Row],[Date]])/3,0)</f>
        <v>Q3</v>
      </c>
    </row>
    <row r="45" spans="1:12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5">
        <v>25</v>
      </c>
      <c r="I45" s="5">
        <v>25</v>
      </c>
      <c r="J45" s="2" t="str">
        <f>TEXT(Table1[[#This Row],[Date]],"mmm")</f>
        <v>Feb</v>
      </c>
      <c r="K45" t="str" cm="1">
        <f t="array" ref="K45">_xlfn.IFS(Table1[[#This Row],[Age]]&lt;25,"18-24",Table1[[#This Row],[Age]]&lt;35,"25-34",Table1[[#This Row],[Age]]&lt;45,"35-44",Table1[[#This Row],[Age]]&lt;55,"45-54",TRUE,"55+")</f>
        <v>18-24</v>
      </c>
      <c r="L45" t="str">
        <f>"Q"&amp;ROUNDUP(MONTH(Table1[[#This Row],[Date]])/3,0)</f>
        <v>Q1</v>
      </c>
    </row>
    <row r="46" spans="1:12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5">
        <v>30</v>
      </c>
      <c r="I46" s="5">
        <v>30</v>
      </c>
      <c r="J46" s="2" t="str">
        <f>TEXT(Table1[[#This Row],[Date]],"mmm")</f>
        <v>Jul</v>
      </c>
      <c r="K46" t="str" cm="1">
        <f t="array" ref="K46">_xlfn.IFS(Table1[[#This Row],[Age]]&lt;25,"18-24",Table1[[#This Row],[Age]]&lt;35,"25-34",Table1[[#This Row],[Age]]&lt;45,"35-44",Table1[[#This Row],[Age]]&lt;55,"45-54",TRUE,"55+")</f>
        <v>55+</v>
      </c>
      <c r="L46" t="str">
        <f>"Q"&amp;ROUNDUP(MONTH(Table1[[#This Row],[Date]])/3,0)</f>
        <v>Q3</v>
      </c>
    </row>
    <row r="47" spans="1:12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5">
        <v>300</v>
      </c>
      <c r="I47" s="5">
        <v>1200</v>
      </c>
      <c r="J47" s="2" t="str">
        <f>TEXT(Table1[[#This Row],[Date]],"mmm")</f>
        <v>Jun</v>
      </c>
      <c r="K47" t="str" cm="1">
        <f t="array" ref="K47">_xlfn.IFS(Table1[[#This Row],[Age]]&lt;25,"18-24",Table1[[#This Row],[Age]]&lt;35,"25-34",Table1[[#This Row],[Age]]&lt;45,"35-44",Table1[[#This Row],[Age]]&lt;55,"45-54",TRUE,"55+")</f>
        <v>18-24</v>
      </c>
      <c r="L47" t="str">
        <f>"Q"&amp;ROUNDUP(MONTH(Table1[[#This Row],[Date]])/3,0)</f>
        <v>Q2</v>
      </c>
    </row>
    <row r="48" spans="1:12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5">
        <v>500</v>
      </c>
      <c r="I48" s="5">
        <v>1500</v>
      </c>
      <c r="J48" s="2" t="str">
        <f>TEXT(Table1[[#This Row],[Date]],"mmm")</f>
        <v>Nov</v>
      </c>
      <c r="K48" t="str" cm="1">
        <f t="array" ref="K48">_xlfn.IFS(Table1[[#This Row],[Age]]&lt;25,"18-24",Table1[[#This Row],[Age]]&lt;35,"25-34",Table1[[#This Row],[Age]]&lt;45,"35-44",Table1[[#This Row],[Age]]&lt;55,"45-54",TRUE,"55+")</f>
        <v>35-44</v>
      </c>
      <c r="L48" t="str">
        <f>"Q"&amp;ROUNDUP(MONTH(Table1[[#This Row],[Date]])/3,0)</f>
        <v>Q4</v>
      </c>
    </row>
    <row r="49" spans="1:12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5">
        <v>300</v>
      </c>
      <c r="I49" s="5">
        <v>900</v>
      </c>
      <c r="J49" s="2" t="str">
        <f>TEXT(Table1[[#This Row],[Date]],"mmm")</f>
        <v>May</v>
      </c>
      <c r="K49" t="str" cm="1">
        <f t="array" ref="K49">_xlfn.IFS(Table1[[#This Row],[Age]]&lt;25,"18-24",Table1[[#This Row],[Age]]&lt;35,"25-34",Table1[[#This Row],[Age]]&lt;45,"35-44",Table1[[#This Row],[Age]]&lt;55,"45-54",TRUE,"55+")</f>
        <v>45-54</v>
      </c>
      <c r="L49" t="str">
        <f>"Q"&amp;ROUNDUP(MONTH(Table1[[#This Row],[Date]])/3,0)</f>
        <v>Q2</v>
      </c>
    </row>
    <row r="50" spans="1:12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5">
        <v>500</v>
      </c>
      <c r="I50" s="5">
        <v>1000</v>
      </c>
      <c r="J50" s="2" t="str">
        <f>TEXT(Table1[[#This Row],[Date]],"mmm")</f>
        <v>Jan</v>
      </c>
      <c r="K50" t="str" cm="1">
        <f t="array" ref="K50">_xlfn.IFS(Table1[[#This Row],[Age]]&lt;25,"18-24",Table1[[#This Row],[Age]]&lt;35,"25-34",Table1[[#This Row],[Age]]&lt;45,"35-44",Table1[[#This Row],[Age]]&lt;55,"45-54",TRUE,"55+")</f>
        <v>45-54</v>
      </c>
      <c r="L50" t="str">
        <f>"Q"&amp;ROUNDUP(MONTH(Table1[[#This Row],[Date]])/3,0)</f>
        <v>Q1</v>
      </c>
    </row>
    <row r="51" spans="1:12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5">
        <v>25</v>
      </c>
      <c r="I51" s="5">
        <v>75</v>
      </c>
      <c r="J51" s="2" t="str">
        <f>TEXT(Table1[[#This Row],[Date]],"mmm")</f>
        <v>Aug</v>
      </c>
      <c r="K51" t="str" cm="1">
        <f t="array" ref="K51">_xlfn.IFS(Table1[[#This Row],[Age]]&lt;25,"18-24",Table1[[#This Row],[Age]]&lt;35,"25-34",Table1[[#This Row],[Age]]&lt;45,"35-44",Table1[[#This Row],[Age]]&lt;55,"45-54",TRUE,"55+")</f>
        <v>25-34</v>
      </c>
      <c r="L51" t="str">
        <f>"Q"&amp;ROUNDUP(MONTH(Table1[[#This Row],[Date]])/3,0)</f>
        <v>Q3</v>
      </c>
    </row>
    <row r="52" spans="1:12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5">
        <v>25</v>
      </c>
      <c r="I52" s="5">
        <v>75</v>
      </c>
      <c r="J52" s="2" t="str">
        <f>TEXT(Table1[[#This Row],[Date]],"mmm")</f>
        <v>Oct</v>
      </c>
      <c r="K52" t="str" cm="1">
        <f t="array" ref="K52">_xlfn.IFS(Table1[[#This Row],[Age]]&lt;25,"18-24",Table1[[#This Row],[Age]]&lt;35,"25-34",Table1[[#This Row],[Age]]&lt;45,"35-44",Table1[[#This Row],[Age]]&lt;55,"45-54",TRUE,"55+")</f>
        <v>25-34</v>
      </c>
      <c r="L52" t="str">
        <f>"Q"&amp;ROUNDUP(MONTH(Table1[[#This Row],[Date]])/3,0)</f>
        <v>Q4</v>
      </c>
    </row>
    <row r="53" spans="1:12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5">
        <v>300</v>
      </c>
      <c r="I53" s="5">
        <v>300</v>
      </c>
      <c r="J53" s="2" t="str">
        <f>TEXT(Table1[[#This Row],[Date]],"mmm")</f>
        <v>Mar</v>
      </c>
      <c r="K53" t="str" cm="1">
        <f t="array" ref="K53">_xlfn.IFS(Table1[[#This Row],[Age]]&lt;25,"18-24",Table1[[#This Row],[Age]]&lt;35,"25-34",Table1[[#This Row],[Age]]&lt;45,"35-44",Table1[[#This Row],[Age]]&lt;55,"45-54",TRUE,"55+")</f>
        <v>35-44</v>
      </c>
      <c r="L53" t="str">
        <f>"Q"&amp;ROUNDUP(MONTH(Table1[[#This Row],[Date]])/3,0)</f>
        <v>Q1</v>
      </c>
    </row>
    <row r="54" spans="1:12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5">
        <v>50</v>
      </c>
      <c r="I54" s="5">
        <v>100</v>
      </c>
      <c r="J54" s="2" t="str">
        <f>TEXT(Table1[[#This Row],[Date]],"mmm")</f>
        <v>Jul</v>
      </c>
      <c r="K54" t="str" cm="1">
        <f t="array" ref="K54">_xlfn.IFS(Table1[[#This Row],[Age]]&lt;25,"18-24",Table1[[#This Row],[Age]]&lt;35,"25-34",Table1[[#This Row],[Age]]&lt;45,"35-44",Table1[[#This Row],[Age]]&lt;55,"45-54",TRUE,"55+")</f>
        <v>25-34</v>
      </c>
      <c r="L54" t="str">
        <f>"Q"&amp;ROUNDUP(MONTH(Table1[[#This Row],[Date]])/3,0)</f>
        <v>Q3</v>
      </c>
    </row>
    <row r="55" spans="1:12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5">
        <v>500</v>
      </c>
      <c r="I55" s="5">
        <v>1500</v>
      </c>
      <c r="J55" s="2" t="str">
        <f>TEXT(Table1[[#This Row],[Date]],"mmm")</f>
        <v>Feb</v>
      </c>
      <c r="K55" t="str" cm="1">
        <f t="array" ref="K55">_xlfn.IFS(Table1[[#This Row],[Age]]&lt;25,"18-24",Table1[[#This Row],[Age]]&lt;35,"25-34",Table1[[#This Row],[Age]]&lt;45,"35-44",Table1[[#This Row],[Age]]&lt;55,"45-54",TRUE,"55+")</f>
        <v>35-44</v>
      </c>
      <c r="L55" t="str">
        <f>"Q"&amp;ROUNDUP(MONTH(Table1[[#This Row],[Date]])/3,0)</f>
        <v>Q1</v>
      </c>
    </row>
    <row r="56" spans="1:12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5">
        <v>30</v>
      </c>
      <c r="I56" s="5">
        <v>120</v>
      </c>
      <c r="J56" s="2" t="str">
        <f>TEXT(Table1[[#This Row],[Date]],"mmm")</f>
        <v>Oct</v>
      </c>
      <c r="K56" t="str" cm="1">
        <f t="array" ref="K56">_xlfn.IFS(Table1[[#This Row],[Age]]&lt;25,"18-24",Table1[[#This Row],[Age]]&lt;35,"25-34",Table1[[#This Row],[Age]]&lt;45,"35-44",Table1[[#This Row],[Age]]&lt;55,"45-54",TRUE,"55+")</f>
        <v>25-34</v>
      </c>
      <c r="L56" t="str">
        <f>"Q"&amp;ROUNDUP(MONTH(Table1[[#This Row],[Date]])/3,0)</f>
        <v>Q4</v>
      </c>
    </row>
    <row r="57" spans="1:12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5">
        <v>300</v>
      </c>
      <c r="I57" s="5">
        <v>900</v>
      </c>
      <c r="J57" s="2" t="str">
        <f>TEXT(Table1[[#This Row],[Date]],"mmm")</f>
        <v>May</v>
      </c>
      <c r="K57" t="str" cm="1">
        <f t="array" ref="K57">_xlfn.IFS(Table1[[#This Row],[Age]]&lt;25,"18-24",Table1[[#This Row],[Age]]&lt;35,"25-34",Table1[[#This Row],[Age]]&lt;45,"35-44",Table1[[#This Row],[Age]]&lt;55,"45-54",TRUE,"55+")</f>
        <v>25-34</v>
      </c>
      <c r="L57" t="str">
        <f>"Q"&amp;ROUNDUP(MONTH(Table1[[#This Row],[Date]])/3,0)</f>
        <v>Q2</v>
      </c>
    </row>
    <row r="58" spans="1:12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5">
        <v>30</v>
      </c>
      <c r="I58" s="5">
        <v>30</v>
      </c>
      <c r="J58" s="2" t="str">
        <f>TEXT(Table1[[#This Row],[Date]],"mmm")</f>
        <v>Nov</v>
      </c>
      <c r="K58" t="str" cm="1">
        <f t="array" ref="K58">_xlfn.IFS(Table1[[#This Row],[Age]]&lt;25,"18-24",Table1[[#This Row],[Age]]&lt;35,"25-34",Table1[[#This Row],[Age]]&lt;45,"35-44",Table1[[#This Row],[Age]]&lt;55,"45-54",TRUE,"55+")</f>
        <v>55+</v>
      </c>
      <c r="L58" t="str">
        <f>"Q"&amp;ROUNDUP(MONTH(Table1[[#This Row],[Date]])/3,0)</f>
        <v>Q4</v>
      </c>
    </row>
    <row r="59" spans="1:12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5">
        <v>300</v>
      </c>
      <c r="I59" s="5">
        <v>1200</v>
      </c>
      <c r="J59" s="2" t="str">
        <f>TEXT(Table1[[#This Row],[Date]],"mmm")</f>
        <v>Nov</v>
      </c>
      <c r="K59" t="str" cm="1">
        <f t="array" ref="K59">_xlfn.IFS(Table1[[#This Row],[Age]]&lt;25,"18-24",Table1[[#This Row],[Age]]&lt;35,"25-34",Table1[[#This Row],[Age]]&lt;45,"35-44",Table1[[#This Row],[Age]]&lt;55,"45-54",TRUE,"55+")</f>
        <v>18-24</v>
      </c>
      <c r="L59" t="str">
        <f>"Q"&amp;ROUNDUP(MONTH(Table1[[#This Row],[Date]])/3,0)</f>
        <v>Q4</v>
      </c>
    </row>
    <row r="60" spans="1:12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5">
        <v>50</v>
      </c>
      <c r="I60" s="5">
        <v>50</v>
      </c>
      <c r="J60" s="2" t="str">
        <f>TEXT(Table1[[#This Row],[Date]],"mmm")</f>
        <v>Jul</v>
      </c>
      <c r="K60" t="str" cm="1">
        <f t="array" ref="K60">_xlfn.IFS(Table1[[#This Row],[Age]]&lt;25,"18-24",Table1[[#This Row],[Age]]&lt;35,"25-34",Table1[[#This Row],[Age]]&lt;45,"35-44",Table1[[#This Row],[Age]]&lt;55,"45-54",TRUE,"55+")</f>
        <v>55+</v>
      </c>
      <c r="L60" t="str">
        <f>"Q"&amp;ROUNDUP(MONTH(Table1[[#This Row],[Date]])/3,0)</f>
        <v>Q3</v>
      </c>
    </row>
    <row r="61" spans="1:12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5">
        <v>50</v>
      </c>
      <c r="I61" s="5">
        <v>150</v>
      </c>
      <c r="J61" s="2" t="str">
        <f>TEXT(Table1[[#This Row],[Date]],"mmm")</f>
        <v>Oct</v>
      </c>
      <c r="K61" t="str" cm="1">
        <f t="array" ref="K61">_xlfn.IFS(Table1[[#This Row],[Age]]&lt;25,"18-24",Table1[[#This Row],[Age]]&lt;35,"25-34",Table1[[#This Row],[Age]]&lt;45,"35-44",Table1[[#This Row],[Age]]&lt;55,"45-54",TRUE,"55+")</f>
        <v>25-34</v>
      </c>
      <c r="L61" t="str">
        <f>"Q"&amp;ROUNDUP(MONTH(Table1[[#This Row],[Date]])/3,0)</f>
        <v>Q4</v>
      </c>
    </row>
    <row r="62" spans="1:12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5">
        <v>50</v>
      </c>
      <c r="I62" s="5">
        <v>200</v>
      </c>
      <c r="J62" s="2" t="str">
        <f>TEXT(Table1[[#This Row],[Date]],"mmm")</f>
        <v>Apr</v>
      </c>
      <c r="K62" t="str" cm="1">
        <f t="array" ref="K62">_xlfn.IFS(Table1[[#This Row],[Age]]&lt;25,"18-24",Table1[[#This Row],[Age]]&lt;35,"25-34",Table1[[#This Row],[Age]]&lt;45,"35-44",Table1[[#This Row],[Age]]&lt;55,"45-54",TRUE,"55+")</f>
        <v>18-24</v>
      </c>
      <c r="L62" t="str">
        <f>"Q"&amp;ROUNDUP(MONTH(Table1[[#This Row],[Date]])/3,0)</f>
        <v>Q2</v>
      </c>
    </row>
    <row r="63" spans="1:12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5">
        <v>50</v>
      </c>
      <c r="I63" s="5">
        <v>100</v>
      </c>
      <c r="J63" s="2" t="str">
        <f>TEXT(Table1[[#This Row],[Date]],"mmm")</f>
        <v>Dec</v>
      </c>
      <c r="K63" t="str" cm="1">
        <f t="array" ref="K63">_xlfn.IFS(Table1[[#This Row],[Age]]&lt;25,"18-24",Table1[[#This Row],[Age]]&lt;35,"25-34",Table1[[#This Row],[Age]]&lt;45,"35-44",Table1[[#This Row],[Age]]&lt;55,"45-54",TRUE,"55+")</f>
        <v>18-24</v>
      </c>
      <c r="L63" t="str">
        <f>"Q"&amp;ROUNDUP(MONTH(Table1[[#This Row],[Date]])/3,0)</f>
        <v>Q4</v>
      </c>
    </row>
    <row r="64" spans="1:12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5">
        <v>25</v>
      </c>
      <c r="I64" s="5">
        <v>50</v>
      </c>
      <c r="J64" s="2" t="str">
        <f>TEXT(Table1[[#This Row],[Date]],"mmm")</f>
        <v>Feb</v>
      </c>
      <c r="K64" t="str" cm="1">
        <f t="array" ref="K64">_xlfn.IFS(Table1[[#This Row],[Age]]&lt;25,"18-24",Table1[[#This Row],[Age]]&lt;35,"25-34",Table1[[#This Row],[Age]]&lt;45,"35-44",Table1[[#This Row],[Age]]&lt;55,"45-54",TRUE,"55+")</f>
        <v>55+</v>
      </c>
      <c r="L64" t="str">
        <f>"Q"&amp;ROUNDUP(MONTH(Table1[[#This Row],[Date]])/3,0)</f>
        <v>Q1</v>
      </c>
    </row>
    <row r="65" spans="1:12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5">
        <v>25</v>
      </c>
      <c r="I65" s="5">
        <v>100</v>
      </c>
      <c r="J65" s="2" t="str">
        <f>TEXT(Table1[[#This Row],[Date]],"mmm")</f>
        <v>Jan</v>
      </c>
      <c r="K65" t="str" cm="1">
        <f t="array" ref="K65">_xlfn.IFS(Table1[[#This Row],[Age]]&lt;25,"18-24",Table1[[#This Row],[Age]]&lt;35,"25-34",Table1[[#This Row],[Age]]&lt;45,"35-44",Table1[[#This Row],[Age]]&lt;55,"45-54",TRUE,"55+")</f>
        <v>45-54</v>
      </c>
      <c r="L65" t="str">
        <f>"Q"&amp;ROUNDUP(MONTH(Table1[[#This Row],[Date]])/3,0)</f>
        <v>Q1</v>
      </c>
    </row>
    <row r="66" spans="1:12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5">
        <v>500</v>
      </c>
      <c r="I66" s="5">
        <v>2000</v>
      </c>
      <c r="J66" s="2" t="str">
        <f>TEXT(Table1[[#This Row],[Date]],"mmm")</f>
        <v>Dec</v>
      </c>
      <c r="K66" t="str" cm="1">
        <f t="array" ref="K66">_xlfn.IFS(Table1[[#This Row],[Age]]&lt;25,"18-24",Table1[[#This Row],[Age]]&lt;35,"25-34",Table1[[#This Row],[Age]]&lt;45,"35-44",Table1[[#This Row],[Age]]&lt;55,"45-54",TRUE,"55+")</f>
        <v>45-54</v>
      </c>
      <c r="L66" t="str">
        <f>"Q"&amp;ROUNDUP(MONTH(Table1[[#This Row],[Date]])/3,0)</f>
        <v>Q4</v>
      </c>
    </row>
    <row r="67" spans="1:12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5">
        <v>30</v>
      </c>
      <c r="I67" s="5">
        <v>30</v>
      </c>
      <c r="J67" s="2" t="str">
        <f>TEXT(Table1[[#This Row],[Date]],"mmm")</f>
        <v>Apr</v>
      </c>
      <c r="K67" t="str" cm="1">
        <f t="array" ref="K67">_xlfn.IFS(Table1[[#This Row],[Age]]&lt;25,"18-24",Table1[[#This Row],[Age]]&lt;35,"25-34",Table1[[#This Row],[Age]]&lt;45,"35-44",Table1[[#This Row],[Age]]&lt;55,"45-54",TRUE,"55+")</f>
        <v>45-54</v>
      </c>
      <c r="L67" t="str">
        <f>"Q"&amp;ROUNDUP(MONTH(Table1[[#This Row],[Date]])/3,0)</f>
        <v>Q2</v>
      </c>
    </row>
    <row r="68" spans="1:12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5">
        <v>300</v>
      </c>
      <c r="I68" s="5">
        <v>1200</v>
      </c>
      <c r="J68" s="2" t="str">
        <f>TEXT(Table1[[#This Row],[Date]],"mmm")</f>
        <v>May</v>
      </c>
      <c r="K68" t="str" cm="1">
        <f t="array" ref="K68">_xlfn.IFS(Table1[[#This Row],[Age]]&lt;25,"18-24",Table1[[#This Row],[Age]]&lt;35,"25-34",Table1[[#This Row],[Age]]&lt;45,"35-44",Table1[[#This Row],[Age]]&lt;55,"45-54",TRUE,"55+")</f>
        <v>45-54</v>
      </c>
      <c r="L68" t="str">
        <f>"Q"&amp;ROUNDUP(MONTH(Table1[[#This Row],[Date]])/3,0)</f>
        <v>Q2</v>
      </c>
    </row>
    <row r="69" spans="1:12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5">
        <v>300</v>
      </c>
      <c r="I69" s="5">
        <v>300</v>
      </c>
      <c r="J69" s="2" t="str">
        <f>TEXT(Table1[[#This Row],[Date]],"mmm")</f>
        <v>Feb</v>
      </c>
      <c r="K69" t="str" cm="1">
        <f t="array" ref="K69">_xlfn.IFS(Table1[[#This Row],[Age]]&lt;25,"18-24",Table1[[#This Row],[Age]]&lt;35,"25-34",Table1[[#This Row],[Age]]&lt;45,"35-44",Table1[[#This Row],[Age]]&lt;55,"45-54",TRUE,"55+")</f>
        <v>25-34</v>
      </c>
      <c r="L69" t="str">
        <f>"Q"&amp;ROUNDUP(MONTH(Table1[[#This Row],[Date]])/3,0)</f>
        <v>Q1</v>
      </c>
    </row>
    <row r="70" spans="1:12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5">
        <v>25</v>
      </c>
      <c r="I70" s="5">
        <v>75</v>
      </c>
      <c r="J70" s="2" t="str">
        <f>TEXT(Table1[[#This Row],[Date]],"mmm")</f>
        <v>Apr</v>
      </c>
      <c r="K70" t="str" cm="1">
        <f t="array" ref="K70">_xlfn.IFS(Table1[[#This Row],[Age]]&lt;25,"18-24",Table1[[#This Row],[Age]]&lt;35,"25-34",Table1[[#This Row],[Age]]&lt;45,"35-44",Table1[[#This Row],[Age]]&lt;55,"45-54",TRUE,"55+")</f>
        <v>55+</v>
      </c>
      <c r="L70" t="str">
        <f>"Q"&amp;ROUNDUP(MONTH(Table1[[#This Row],[Date]])/3,0)</f>
        <v>Q2</v>
      </c>
    </row>
    <row r="71" spans="1:12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5">
        <v>300</v>
      </c>
      <c r="I71" s="5">
        <v>300</v>
      </c>
      <c r="J71" s="2" t="str">
        <f>TEXT(Table1[[#This Row],[Date]],"mmm")</f>
        <v>Feb</v>
      </c>
      <c r="K71" t="str" cm="1">
        <f t="array" ref="K71">_xlfn.IFS(Table1[[#This Row],[Age]]&lt;25,"18-24",Table1[[#This Row],[Age]]&lt;35,"25-34",Table1[[#This Row],[Age]]&lt;45,"35-44",Table1[[#This Row],[Age]]&lt;55,"45-54",TRUE,"55+")</f>
        <v>35-44</v>
      </c>
      <c r="L71" t="str">
        <f>"Q"&amp;ROUNDUP(MONTH(Table1[[#This Row],[Date]])/3,0)</f>
        <v>Q1</v>
      </c>
    </row>
    <row r="72" spans="1:12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5">
        <v>25</v>
      </c>
      <c r="I72" s="5">
        <v>100</v>
      </c>
      <c r="J72" s="2" t="str">
        <f>TEXT(Table1[[#This Row],[Date]],"mmm")</f>
        <v>Jul</v>
      </c>
      <c r="K72" t="str" cm="1">
        <f t="array" ref="K72">_xlfn.IFS(Table1[[#This Row],[Age]]&lt;25,"18-24",Table1[[#This Row],[Age]]&lt;35,"25-34",Table1[[#This Row],[Age]]&lt;45,"35-44",Table1[[#This Row],[Age]]&lt;55,"45-54",TRUE,"55+")</f>
        <v>45-54</v>
      </c>
      <c r="L72" t="str">
        <f>"Q"&amp;ROUNDUP(MONTH(Table1[[#This Row],[Date]])/3,0)</f>
        <v>Q3</v>
      </c>
    </row>
    <row r="73" spans="1:12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5">
        <v>500</v>
      </c>
      <c r="I73" s="5">
        <v>2000</v>
      </c>
      <c r="J73" s="2" t="str">
        <f>TEXT(Table1[[#This Row],[Date]],"mmm")</f>
        <v>May</v>
      </c>
      <c r="K73" t="str" cm="1">
        <f t="array" ref="K73">_xlfn.IFS(Table1[[#This Row],[Age]]&lt;25,"18-24",Table1[[#This Row],[Age]]&lt;35,"25-34",Table1[[#This Row],[Age]]&lt;45,"35-44",Table1[[#This Row],[Age]]&lt;55,"45-54",TRUE,"55+")</f>
        <v>18-24</v>
      </c>
      <c r="L73" t="str">
        <f>"Q"&amp;ROUNDUP(MONTH(Table1[[#This Row],[Date]])/3,0)</f>
        <v>Q2</v>
      </c>
    </row>
    <row r="74" spans="1:12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5">
        <v>30</v>
      </c>
      <c r="I74" s="5">
        <v>90</v>
      </c>
      <c r="J74" s="2" t="str">
        <f>TEXT(Table1[[#This Row],[Date]],"mmm")</f>
        <v>Aug</v>
      </c>
      <c r="K74" t="str" cm="1">
        <f t="array" ref="K74">_xlfn.IFS(Table1[[#This Row],[Age]]&lt;25,"18-24",Table1[[#This Row],[Age]]&lt;35,"25-34",Table1[[#This Row],[Age]]&lt;45,"35-44",Table1[[#This Row],[Age]]&lt;55,"45-54",TRUE,"55+")</f>
        <v>25-34</v>
      </c>
      <c r="L74" t="str">
        <f>"Q"&amp;ROUNDUP(MONTH(Table1[[#This Row],[Date]])/3,0)</f>
        <v>Q3</v>
      </c>
    </row>
    <row r="75" spans="1:12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5">
        <v>500</v>
      </c>
      <c r="I75" s="5">
        <v>2000</v>
      </c>
      <c r="J75" s="2" t="str">
        <f>TEXT(Table1[[#This Row],[Date]],"mmm")</f>
        <v>Nov</v>
      </c>
      <c r="K75" t="str" cm="1">
        <f t="array" ref="K75">_xlfn.IFS(Table1[[#This Row],[Age]]&lt;25,"18-24",Table1[[#This Row],[Age]]&lt;35,"25-34",Table1[[#This Row],[Age]]&lt;45,"35-44",Table1[[#This Row],[Age]]&lt;55,"45-54",TRUE,"55+")</f>
        <v>18-24</v>
      </c>
      <c r="L75" t="str">
        <f>"Q"&amp;ROUNDUP(MONTH(Table1[[#This Row],[Date]])/3,0)</f>
        <v>Q4</v>
      </c>
    </row>
    <row r="76" spans="1:12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5">
        <v>50</v>
      </c>
      <c r="I76" s="5">
        <v>200</v>
      </c>
      <c r="J76" s="2" t="str">
        <f>TEXT(Table1[[#This Row],[Date]],"mmm")</f>
        <v>Jul</v>
      </c>
      <c r="K76" t="str" cm="1">
        <f t="array" ref="K76">_xlfn.IFS(Table1[[#This Row],[Age]]&lt;25,"18-24",Table1[[#This Row],[Age]]&lt;35,"25-34",Table1[[#This Row],[Age]]&lt;45,"35-44",Table1[[#This Row],[Age]]&lt;55,"45-54",TRUE,"55+")</f>
        <v>55+</v>
      </c>
      <c r="L76" t="str">
        <f>"Q"&amp;ROUNDUP(MONTH(Table1[[#This Row],[Date]])/3,0)</f>
        <v>Q3</v>
      </c>
    </row>
    <row r="77" spans="1:12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5">
        <v>50</v>
      </c>
      <c r="I77" s="5">
        <v>100</v>
      </c>
      <c r="J77" s="2" t="str">
        <f>TEXT(Table1[[#This Row],[Date]],"mmm")</f>
        <v>Mar</v>
      </c>
      <c r="K77" t="str" cm="1">
        <f t="array" ref="K77">_xlfn.IFS(Table1[[#This Row],[Age]]&lt;25,"18-24",Table1[[#This Row],[Age]]&lt;35,"25-34",Table1[[#This Row],[Age]]&lt;45,"35-44",Table1[[#This Row],[Age]]&lt;55,"45-54",TRUE,"55+")</f>
        <v>18-24</v>
      </c>
      <c r="L77" t="str">
        <f>"Q"&amp;ROUNDUP(MONTH(Table1[[#This Row],[Date]])/3,0)</f>
        <v>Q1</v>
      </c>
    </row>
    <row r="78" spans="1:12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5">
        <v>50</v>
      </c>
      <c r="I78" s="5">
        <v>100</v>
      </c>
      <c r="J78" s="2" t="str">
        <f>TEXT(Table1[[#This Row],[Date]],"mmm")</f>
        <v>Jul</v>
      </c>
      <c r="K78" t="str" cm="1">
        <f t="array" ref="K78">_xlfn.IFS(Table1[[#This Row],[Age]]&lt;25,"18-24",Table1[[#This Row],[Age]]&lt;35,"25-34",Table1[[#This Row],[Age]]&lt;45,"35-44",Table1[[#This Row],[Age]]&lt;55,"45-54",TRUE,"55+")</f>
        <v>45-54</v>
      </c>
      <c r="L78" t="str">
        <f>"Q"&amp;ROUNDUP(MONTH(Table1[[#This Row],[Date]])/3,0)</f>
        <v>Q3</v>
      </c>
    </row>
    <row r="79" spans="1:12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5">
        <v>500</v>
      </c>
      <c r="I79" s="5">
        <v>1500</v>
      </c>
      <c r="J79" s="2" t="str">
        <f>TEXT(Table1[[#This Row],[Date]],"mmm")</f>
        <v>Jul</v>
      </c>
      <c r="K79" t="str" cm="1">
        <f t="array" ref="K79">_xlfn.IFS(Table1[[#This Row],[Age]]&lt;25,"18-24",Table1[[#This Row],[Age]]&lt;35,"25-34",Table1[[#This Row],[Age]]&lt;45,"35-44",Table1[[#This Row],[Age]]&lt;55,"45-54",TRUE,"55+")</f>
        <v>45-54</v>
      </c>
      <c r="L79" t="str">
        <f>"Q"&amp;ROUNDUP(MONTH(Table1[[#This Row],[Date]])/3,0)</f>
        <v>Q3</v>
      </c>
    </row>
    <row r="80" spans="1:12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5">
        <v>300</v>
      </c>
      <c r="I80" s="5">
        <v>300</v>
      </c>
      <c r="J80" s="2" t="str">
        <f>TEXT(Table1[[#This Row],[Date]],"mmm")</f>
        <v>Apr</v>
      </c>
      <c r="K80" t="str" cm="1">
        <f t="array" ref="K80">_xlfn.IFS(Table1[[#This Row],[Age]]&lt;25,"18-24",Table1[[#This Row],[Age]]&lt;35,"25-34",Table1[[#This Row],[Age]]&lt;45,"35-44",Table1[[#This Row],[Age]]&lt;55,"45-54",TRUE,"55+")</f>
        <v>25-34</v>
      </c>
      <c r="L80" t="str">
        <f>"Q"&amp;ROUNDUP(MONTH(Table1[[#This Row],[Date]])/3,0)</f>
        <v>Q2</v>
      </c>
    </row>
    <row r="81" spans="1:12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5">
        <v>30</v>
      </c>
      <c r="I81" s="5">
        <v>60</v>
      </c>
      <c r="J81" s="2" t="str">
        <f>TEXT(Table1[[#This Row],[Date]],"mmm")</f>
        <v>Dec</v>
      </c>
      <c r="K81" t="str" cm="1">
        <f t="array" ref="K81">_xlfn.IFS(Table1[[#This Row],[Age]]&lt;25,"18-24",Table1[[#This Row],[Age]]&lt;35,"25-34",Table1[[#This Row],[Age]]&lt;45,"35-44",Table1[[#This Row],[Age]]&lt;55,"45-54",TRUE,"55+")</f>
        <v>55+</v>
      </c>
      <c r="L81" t="str">
        <f>"Q"&amp;ROUNDUP(MONTH(Table1[[#This Row],[Date]])/3,0)</f>
        <v>Q4</v>
      </c>
    </row>
    <row r="82" spans="1:12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5">
        <v>50</v>
      </c>
      <c r="I82" s="5">
        <v>50</v>
      </c>
      <c r="J82" s="2" t="str">
        <f>TEXT(Table1[[#This Row],[Date]],"mmm")</f>
        <v>May</v>
      </c>
      <c r="K82" t="str" cm="1">
        <f t="array" ref="K82">_xlfn.IFS(Table1[[#This Row],[Age]]&lt;25,"18-24",Table1[[#This Row],[Age]]&lt;35,"25-34",Table1[[#This Row],[Age]]&lt;45,"35-44",Table1[[#This Row],[Age]]&lt;55,"45-54",TRUE,"55+")</f>
        <v>35-44</v>
      </c>
      <c r="L82" t="str">
        <f>"Q"&amp;ROUNDUP(MONTH(Table1[[#This Row],[Date]])/3,0)</f>
        <v>Q2</v>
      </c>
    </row>
    <row r="83" spans="1:12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5">
        <v>50</v>
      </c>
      <c r="I83" s="5">
        <v>200</v>
      </c>
      <c r="J83" s="2" t="str">
        <f>TEXT(Table1[[#This Row],[Date]],"mmm")</f>
        <v>Dec</v>
      </c>
      <c r="K83" t="str" cm="1">
        <f t="array" ref="K83">_xlfn.IFS(Table1[[#This Row],[Age]]&lt;25,"18-24",Table1[[#This Row],[Age]]&lt;35,"25-34",Table1[[#This Row],[Age]]&lt;45,"35-44",Table1[[#This Row],[Age]]&lt;55,"45-54",TRUE,"55+")</f>
        <v>25-34</v>
      </c>
      <c r="L83" t="str">
        <f>"Q"&amp;ROUNDUP(MONTH(Table1[[#This Row],[Date]])/3,0)</f>
        <v>Q4</v>
      </c>
    </row>
    <row r="84" spans="1:12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5">
        <v>50</v>
      </c>
      <c r="I84" s="5">
        <v>100</v>
      </c>
      <c r="J84" s="2" t="str">
        <f>TEXT(Table1[[#This Row],[Date]],"mmm")</f>
        <v>Dec</v>
      </c>
      <c r="K84" t="str" cm="1">
        <f t="array" ref="K84">_xlfn.IFS(Table1[[#This Row],[Age]]&lt;25,"18-24",Table1[[#This Row],[Age]]&lt;35,"25-34",Table1[[#This Row],[Age]]&lt;45,"35-44",Table1[[#This Row],[Age]]&lt;55,"45-54",TRUE,"55+")</f>
        <v>45-54</v>
      </c>
      <c r="L84" t="str">
        <f>"Q"&amp;ROUNDUP(MONTH(Table1[[#This Row],[Date]])/3,0)</f>
        <v>Q4</v>
      </c>
    </row>
    <row r="85" spans="1:12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5">
        <v>30</v>
      </c>
      <c r="I85" s="5">
        <v>90</v>
      </c>
      <c r="J85" s="2" t="str">
        <f>TEXT(Table1[[#This Row],[Date]],"mmm")</f>
        <v>Nov</v>
      </c>
      <c r="K85" t="str" cm="1">
        <f t="array" ref="K85">_xlfn.IFS(Table1[[#This Row],[Age]]&lt;25,"18-24",Table1[[#This Row],[Age]]&lt;35,"25-34",Table1[[#This Row],[Age]]&lt;45,"35-44",Table1[[#This Row],[Age]]&lt;55,"45-54",TRUE,"55+")</f>
        <v>35-44</v>
      </c>
      <c r="L85" t="str">
        <f>"Q"&amp;ROUNDUP(MONTH(Table1[[#This Row],[Date]])/3,0)</f>
        <v>Q4</v>
      </c>
    </row>
    <row r="86" spans="1:12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5">
        <v>50</v>
      </c>
      <c r="I86" s="5">
        <v>150</v>
      </c>
      <c r="J86" s="2" t="str">
        <f>TEXT(Table1[[#This Row],[Date]],"mmm")</f>
        <v>Feb</v>
      </c>
      <c r="K86" t="str" cm="1">
        <f t="array" ref="K86">_xlfn.IFS(Table1[[#This Row],[Age]]&lt;25,"18-24",Table1[[#This Row],[Age]]&lt;35,"25-34",Table1[[#This Row],[Age]]&lt;45,"35-44",Table1[[#This Row],[Age]]&lt;55,"45-54",TRUE,"55+")</f>
        <v>25-34</v>
      </c>
      <c r="L86" t="str">
        <f>"Q"&amp;ROUNDUP(MONTH(Table1[[#This Row],[Date]])/3,0)</f>
        <v>Q1</v>
      </c>
    </row>
    <row r="87" spans="1:12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5">
        <v>30</v>
      </c>
      <c r="I87" s="5">
        <v>90</v>
      </c>
      <c r="J87" s="2" t="str">
        <f>TEXT(Table1[[#This Row],[Date]],"mmm")</f>
        <v>Nov</v>
      </c>
      <c r="K87" t="str" cm="1">
        <f t="array" ref="K87">_xlfn.IFS(Table1[[#This Row],[Age]]&lt;25,"18-24",Table1[[#This Row],[Age]]&lt;35,"25-34",Table1[[#This Row],[Age]]&lt;45,"35-44",Table1[[#This Row],[Age]]&lt;55,"45-54",TRUE,"55+")</f>
        <v>18-24</v>
      </c>
      <c r="L87" t="str">
        <f>"Q"&amp;ROUNDUP(MONTH(Table1[[#This Row],[Date]])/3,0)</f>
        <v>Q4</v>
      </c>
    </row>
    <row r="88" spans="1:12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5">
        <v>50</v>
      </c>
      <c r="I88" s="5">
        <v>100</v>
      </c>
      <c r="J88" s="2" t="str">
        <f>TEXT(Table1[[#This Row],[Date]],"mmm")</f>
        <v>Nov</v>
      </c>
      <c r="K88" t="str" cm="1">
        <f t="array" ref="K88">_xlfn.IFS(Table1[[#This Row],[Age]]&lt;25,"18-24",Table1[[#This Row],[Age]]&lt;35,"25-34",Table1[[#This Row],[Age]]&lt;45,"35-44",Table1[[#This Row],[Age]]&lt;55,"45-54",TRUE,"55+")</f>
        <v>25-34</v>
      </c>
      <c r="L88" t="str">
        <f>"Q"&amp;ROUNDUP(MONTH(Table1[[#This Row],[Date]])/3,0)</f>
        <v>Q4</v>
      </c>
    </row>
    <row r="89" spans="1:12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5">
        <v>500</v>
      </c>
      <c r="I89" s="5">
        <v>500</v>
      </c>
      <c r="J89" s="2" t="str">
        <f>TEXT(Table1[[#This Row],[Date]],"mmm")</f>
        <v>Mar</v>
      </c>
      <c r="K89" t="str" cm="1">
        <f t="array" ref="K89">_xlfn.IFS(Table1[[#This Row],[Age]]&lt;25,"18-24",Table1[[#This Row],[Age]]&lt;35,"25-34",Table1[[#This Row],[Age]]&lt;45,"35-44",Table1[[#This Row],[Age]]&lt;55,"45-54",TRUE,"55+")</f>
        <v>55+</v>
      </c>
      <c r="L89" t="str">
        <f>"Q"&amp;ROUNDUP(MONTH(Table1[[#This Row],[Date]])/3,0)</f>
        <v>Q1</v>
      </c>
    </row>
    <row r="90" spans="1:12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5">
        <v>500</v>
      </c>
      <c r="I90" s="5">
        <v>2000</v>
      </c>
      <c r="J90" s="2" t="str">
        <f>TEXT(Table1[[#This Row],[Date]],"mmm")</f>
        <v>Oct</v>
      </c>
      <c r="K90" t="str" cm="1">
        <f t="array" ref="K90">_xlfn.IFS(Table1[[#This Row],[Age]]&lt;25,"18-24",Table1[[#This Row],[Age]]&lt;35,"25-34",Table1[[#This Row],[Age]]&lt;45,"35-44",Table1[[#This Row],[Age]]&lt;55,"45-54",TRUE,"55+")</f>
        <v>55+</v>
      </c>
      <c r="L90" t="str">
        <f>"Q"&amp;ROUNDUP(MONTH(Table1[[#This Row],[Date]])/3,0)</f>
        <v>Q4</v>
      </c>
    </row>
    <row r="91" spans="1:12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5">
        <v>30</v>
      </c>
      <c r="I91" s="5">
        <v>30</v>
      </c>
      <c r="J91" s="2" t="str">
        <f>TEXT(Table1[[#This Row],[Date]],"mmm")</f>
        <v>May</v>
      </c>
      <c r="K91" t="str" cm="1">
        <f t="array" ref="K91">_xlfn.IFS(Table1[[#This Row],[Age]]&lt;25,"18-24",Table1[[#This Row],[Age]]&lt;35,"25-34",Table1[[#This Row],[Age]]&lt;45,"35-44",Table1[[#This Row],[Age]]&lt;55,"45-54",TRUE,"55+")</f>
        <v>45-54</v>
      </c>
      <c r="L91" t="str">
        <f>"Q"&amp;ROUNDUP(MONTH(Table1[[#This Row],[Date]])/3,0)</f>
        <v>Q2</v>
      </c>
    </row>
    <row r="92" spans="1:12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5">
        <v>500</v>
      </c>
      <c r="I92" s="5">
        <v>500</v>
      </c>
      <c r="J92" s="2" t="str">
        <f>TEXT(Table1[[#This Row],[Date]],"mmm")</f>
        <v>Mar</v>
      </c>
      <c r="K92" t="str" cm="1">
        <f t="array" ref="K92">_xlfn.IFS(Table1[[#This Row],[Age]]&lt;25,"18-24",Table1[[#This Row],[Age]]&lt;35,"25-34",Table1[[#This Row],[Age]]&lt;45,"35-44",Table1[[#This Row],[Age]]&lt;55,"45-54",TRUE,"55+")</f>
        <v>55+</v>
      </c>
      <c r="L92" t="str">
        <f>"Q"&amp;ROUNDUP(MONTH(Table1[[#This Row],[Date]])/3,0)</f>
        <v>Q1</v>
      </c>
    </row>
    <row r="93" spans="1:12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5">
        <v>30</v>
      </c>
      <c r="I93" s="5">
        <v>120</v>
      </c>
      <c r="J93" s="2" t="str">
        <f>TEXT(Table1[[#This Row],[Date]],"mmm")</f>
        <v>Aug</v>
      </c>
      <c r="K93" t="str" cm="1">
        <f t="array" ref="K93">_xlfn.IFS(Table1[[#This Row],[Age]]&lt;25,"18-24",Table1[[#This Row],[Age]]&lt;35,"25-34",Table1[[#This Row],[Age]]&lt;45,"35-44",Table1[[#This Row],[Age]]&lt;55,"45-54",TRUE,"55+")</f>
        <v>45-54</v>
      </c>
      <c r="L93" t="str">
        <f>"Q"&amp;ROUNDUP(MONTH(Table1[[#This Row],[Date]])/3,0)</f>
        <v>Q3</v>
      </c>
    </row>
    <row r="94" spans="1:12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5">
        <v>500</v>
      </c>
      <c r="I94" s="5">
        <v>2000</v>
      </c>
      <c r="J94" s="2" t="str">
        <f>TEXT(Table1[[#This Row],[Date]],"mmm")</f>
        <v>Jul</v>
      </c>
      <c r="K94" t="str" cm="1">
        <f t="array" ref="K94">_xlfn.IFS(Table1[[#This Row],[Age]]&lt;25,"18-24",Table1[[#This Row],[Age]]&lt;35,"25-34",Table1[[#This Row],[Age]]&lt;45,"35-44",Table1[[#This Row],[Age]]&lt;55,"45-54",TRUE,"55+")</f>
        <v>35-44</v>
      </c>
      <c r="L94" t="str">
        <f>"Q"&amp;ROUNDUP(MONTH(Table1[[#This Row],[Date]])/3,0)</f>
        <v>Q3</v>
      </c>
    </row>
    <row r="95" spans="1:12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5">
        <v>500</v>
      </c>
      <c r="I95" s="5">
        <v>1000</v>
      </c>
      <c r="J95" s="2" t="str">
        <f>TEXT(Table1[[#This Row],[Date]],"mmm")</f>
        <v>May</v>
      </c>
      <c r="K95" t="str" cm="1">
        <f t="array" ref="K95">_xlfn.IFS(Table1[[#This Row],[Age]]&lt;25,"18-24",Table1[[#This Row],[Age]]&lt;35,"25-34",Table1[[#This Row],[Age]]&lt;45,"35-44",Table1[[#This Row],[Age]]&lt;55,"45-54",TRUE,"55+")</f>
        <v>45-54</v>
      </c>
      <c r="L95" t="str">
        <f>"Q"&amp;ROUNDUP(MONTH(Table1[[#This Row],[Date]])/3,0)</f>
        <v>Q2</v>
      </c>
    </row>
    <row r="96" spans="1:12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5">
        <v>30</v>
      </c>
      <c r="I96" s="5">
        <v>60</v>
      </c>
      <c r="J96" s="2" t="str">
        <f>TEXT(Table1[[#This Row],[Date]],"mmm")</f>
        <v>Nov</v>
      </c>
      <c r="K96" t="str" cm="1">
        <f t="array" ref="K96">_xlfn.IFS(Table1[[#This Row],[Age]]&lt;25,"18-24",Table1[[#This Row],[Age]]&lt;35,"25-34",Table1[[#This Row],[Age]]&lt;45,"35-44",Table1[[#This Row],[Age]]&lt;55,"45-54",TRUE,"55+")</f>
        <v>25-34</v>
      </c>
      <c r="L96" t="str">
        <f>"Q"&amp;ROUNDUP(MONTH(Table1[[#This Row],[Date]])/3,0)</f>
        <v>Q4</v>
      </c>
    </row>
    <row r="97" spans="1:12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5">
        <v>300</v>
      </c>
      <c r="I97" s="5">
        <v>600</v>
      </c>
      <c r="J97" s="2" t="str">
        <f>TEXT(Table1[[#This Row],[Date]],"mmm")</f>
        <v>Dec</v>
      </c>
      <c r="K97" t="str" cm="1">
        <f t="array" ref="K97">_xlfn.IFS(Table1[[#This Row],[Age]]&lt;25,"18-24",Table1[[#This Row],[Age]]&lt;35,"25-34",Table1[[#This Row],[Age]]&lt;45,"35-44",Table1[[#This Row],[Age]]&lt;55,"45-54",TRUE,"55+")</f>
        <v>35-44</v>
      </c>
      <c r="L97" t="str">
        <f>"Q"&amp;ROUNDUP(MONTH(Table1[[#This Row],[Date]])/3,0)</f>
        <v>Q4</v>
      </c>
    </row>
    <row r="98" spans="1:12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5">
        <v>500</v>
      </c>
      <c r="I98" s="5">
        <v>1000</v>
      </c>
      <c r="J98" s="2" t="str">
        <f>TEXT(Table1[[#This Row],[Date]],"mmm")</f>
        <v>Oct</v>
      </c>
      <c r="K98" t="str" cm="1">
        <f t="array" ref="K98">_xlfn.IFS(Table1[[#This Row],[Age]]&lt;25,"18-24",Table1[[#This Row],[Age]]&lt;35,"25-34",Table1[[#This Row],[Age]]&lt;45,"35-44",Table1[[#This Row],[Age]]&lt;55,"45-54",TRUE,"55+")</f>
        <v>45-54</v>
      </c>
      <c r="L98" t="str">
        <f>"Q"&amp;ROUNDUP(MONTH(Table1[[#This Row],[Date]])/3,0)</f>
        <v>Q4</v>
      </c>
    </row>
    <row r="99" spans="1:12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5">
        <v>50</v>
      </c>
      <c r="I99" s="5">
        <v>100</v>
      </c>
      <c r="J99" s="2" t="str">
        <f>TEXT(Table1[[#This Row],[Date]],"mmm")</f>
        <v>Apr</v>
      </c>
      <c r="K99" t="str" cm="1">
        <f t="array" ref="K99">_xlfn.IFS(Table1[[#This Row],[Age]]&lt;25,"18-24",Table1[[#This Row],[Age]]&lt;35,"25-34",Table1[[#This Row],[Age]]&lt;45,"35-44",Table1[[#This Row],[Age]]&lt;55,"45-54",TRUE,"55+")</f>
        <v>55+</v>
      </c>
      <c r="L99" t="str">
        <f>"Q"&amp;ROUNDUP(MONTH(Table1[[#This Row],[Date]])/3,0)</f>
        <v>Q2</v>
      </c>
    </row>
    <row r="100" spans="1:12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5">
        <v>300</v>
      </c>
      <c r="I100" s="5">
        <v>1200</v>
      </c>
      <c r="J100" s="2" t="str">
        <f>TEXT(Table1[[#This Row],[Date]],"mmm")</f>
        <v>Dec</v>
      </c>
      <c r="K100" t="str" cm="1">
        <f t="array" ref="K100">_xlfn.IFS(Table1[[#This Row],[Age]]&lt;25,"18-24",Table1[[#This Row],[Age]]&lt;35,"25-34",Table1[[#This Row],[Age]]&lt;45,"35-44",Table1[[#This Row],[Age]]&lt;55,"45-54",TRUE,"55+")</f>
        <v>45-54</v>
      </c>
      <c r="L100" t="str">
        <f>"Q"&amp;ROUNDUP(MONTH(Table1[[#This Row],[Date]])/3,0)</f>
        <v>Q4</v>
      </c>
    </row>
    <row r="101" spans="1:12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5">
        <v>30</v>
      </c>
      <c r="I101" s="5">
        <v>30</v>
      </c>
      <c r="J101" s="2" t="str">
        <f>TEXT(Table1[[#This Row],[Date]],"mmm")</f>
        <v>Jun</v>
      </c>
      <c r="K101" t="str" cm="1">
        <f t="array" ref="K101">_xlfn.IFS(Table1[[#This Row],[Age]]&lt;25,"18-24",Table1[[#This Row],[Age]]&lt;35,"25-34",Table1[[#This Row],[Age]]&lt;45,"35-44",Table1[[#This Row],[Age]]&lt;55,"45-54",TRUE,"55+")</f>
        <v>35-44</v>
      </c>
      <c r="L101" t="str">
        <f>"Q"&amp;ROUNDUP(MONTH(Table1[[#This Row],[Date]])/3,0)</f>
        <v>Q2</v>
      </c>
    </row>
    <row r="102" spans="1:12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5">
        <v>300</v>
      </c>
      <c r="I102" s="5">
        <v>600</v>
      </c>
      <c r="J102" s="2" t="str">
        <f>TEXT(Table1[[#This Row],[Date]],"mmm")</f>
        <v>Jan</v>
      </c>
      <c r="K102" t="str" cm="1">
        <f t="array" ref="K102">_xlfn.IFS(Table1[[#This Row],[Age]]&lt;25,"18-24",Table1[[#This Row],[Age]]&lt;35,"25-34",Table1[[#This Row],[Age]]&lt;45,"35-44",Table1[[#This Row],[Age]]&lt;55,"45-54",TRUE,"55+")</f>
        <v>25-34</v>
      </c>
      <c r="L102" t="str">
        <f>"Q"&amp;ROUNDUP(MONTH(Table1[[#This Row],[Date]])/3,0)</f>
        <v>Q1</v>
      </c>
    </row>
    <row r="103" spans="1:12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5">
        <v>25</v>
      </c>
      <c r="I103" s="5">
        <v>50</v>
      </c>
      <c r="J103" s="2" t="str">
        <f>TEXT(Table1[[#This Row],[Date]],"mmm")</f>
        <v>Apr</v>
      </c>
      <c r="K103" t="str" cm="1">
        <f t="array" ref="K103">_xlfn.IFS(Table1[[#This Row],[Age]]&lt;25,"18-24",Table1[[#This Row],[Age]]&lt;35,"25-34",Table1[[#This Row],[Age]]&lt;45,"35-44",Table1[[#This Row],[Age]]&lt;55,"45-54",TRUE,"55+")</f>
        <v>45-54</v>
      </c>
      <c r="L103" t="str">
        <f>"Q"&amp;ROUNDUP(MONTH(Table1[[#This Row],[Date]])/3,0)</f>
        <v>Q2</v>
      </c>
    </row>
    <row r="104" spans="1:12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5">
        <v>25</v>
      </c>
      <c r="I104" s="5">
        <v>25</v>
      </c>
      <c r="J104" s="2" t="str">
        <f>TEXT(Table1[[#This Row],[Date]],"mmm")</f>
        <v>Jan</v>
      </c>
      <c r="K104" t="str" cm="1">
        <f t="array" ref="K104">_xlfn.IFS(Table1[[#This Row],[Age]]&lt;25,"18-24",Table1[[#This Row],[Age]]&lt;35,"25-34",Table1[[#This Row],[Age]]&lt;45,"35-44",Table1[[#This Row],[Age]]&lt;55,"45-54",TRUE,"55+")</f>
        <v>55+</v>
      </c>
      <c r="L104" t="str">
        <f>"Q"&amp;ROUNDUP(MONTH(Table1[[#This Row],[Date]])/3,0)</f>
        <v>Q1</v>
      </c>
    </row>
    <row r="105" spans="1:12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5">
        <v>500</v>
      </c>
      <c r="I105" s="5">
        <v>1000</v>
      </c>
      <c r="J105" s="2" t="str">
        <f>TEXT(Table1[[#This Row],[Date]],"mmm")</f>
        <v>Jun</v>
      </c>
      <c r="K105" t="str" cm="1">
        <f t="array" ref="K105">_xlfn.IFS(Table1[[#This Row],[Age]]&lt;25,"18-24",Table1[[#This Row],[Age]]&lt;35,"25-34",Table1[[#This Row],[Age]]&lt;45,"35-44",Table1[[#This Row],[Age]]&lt;55,"45-54",TRUE,"55+")</f>
        <v>25-34</v>
      </c>
      <c r="L105" t="str">
        <f>"Q"&amp;ROUNDUP(MONTH(Table1[[#This Row],[Date]])/3,0)</f>
        <v>Q2</v>
      </c>
    </row>
    <row r="106" spans="1:12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5">
        <v>500</v>
      </c>
      <c r="I106" s="5">
        <v>500</v>
      </c>
      <c r="J106" s="2" t="str">
        <f>TEXT(Table1[[#This Row],[Date]],"mmm")</f>
        <v>Jul</v>
      </c>
      <c r="K106" t="str" cm="1">
        <f t="array" ref="K106">_xlfn.IFS(Table1[[#This Row],[Age]]&lt;25,"18-24",Table1[[#This Row],[Age]]&lt;35,"25-34",Table1[[#This Row],[Age]]&lt;45,"35-44",Table1[[#This Row],[Age]]&lt;55,"45-54",TRUE,"55+")</f>
        <v>18-24</v>
      </c>
      <c r="L106" t="str">
        <f>"Q"&amp;ROUNDUP(MONTH(Table1[[#This Row],[Date]])/3,0)</f>
        <v>Q3</v>
      </c>
    </row>
    <row r="107" spans="1:12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5">
        <v>50</v>
      </c>
      <c r="I107" s="5">
        <v>50</v>
      </c>
      <c r="J107" s="2" t="str">
        <f>TEXT(Table1[[#This Row],[Date]],"mmm")</f>
        <v>May</v>
      </c>
      <c r="K107" t="str" cm="1">
        <f t="array" ref="K107">_xlfn.IFS(Table1[[#This Row],[Age]]&lt;25,"18-24",Table1[[#This Row],[Age]]&lt;35,"25-34",Table1[[#This Row],[Age]]&lt;45,"35-44",Table1[[#This Row],[Age]]&lt;55,"45-54",TRUE,"55+")</f>
        <v>45-54</v>
      </c>
      <c r="L107" t="str">
        <f>"Q"&amp;ROUNDUP(MONTH(Table1[[#This Row],[Date]])/3,0)</f>
        <v>Q2</v>
      </c>
    </row>
    <row r="108" spans="1:12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5">
        <v>300</v>
      </c>
      <c r="I108" s="5">
        <v>1200</v>
      </c>
      <c r="J108" s="2" t="str">
        <f>TEXT(Table1[[#This Row],[Date]],"mmm")</f>
        <v>Feb</v>
      </c>
      <c r="K108" t="str" cm="1">
        <f t="array" ref="K108">_xlfn.IFS(Table1[[#This Row],[Age]]&lt;25,"18-24",Table1[[#This Row],[Age]]&lt;35,"25-34",Table1[[#This Row],[Age]]&lt;45,"35-44",Table1[[#This Row],[Age]]&lt;55,"45-54",TRUE,"55+")</f>
        <v>18-24</v>
      </c>
      <c r="L108" t="str">
        <f>"Q"&amp;ROUNDUP(MONTH(Table1[[#This Row],[Date]])/3,0)</f>
        <v>Q1</v>
      </c>
    </row>
    <row r="109" spans="1:12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5">
        <v>25</v>
      </c>
      <c r="I109" s="5">
        <v>75</v>
      </c>
      <c r="J109" s="2" t="str">
        <f>TEXT(Table1[[#This Row],[Date]],"mmm")</f>
        <v>Apr</v>
      </c>
      <c r="K109" t="str" cm="1">
        <f t="array" ref="K109">_xlfn.IFS(Table1[[#This Row],[Age]]&lt;25,"18-24",Table1[[#This Row],[Age]]&lt;35,"25-34",Table1[[#This Row],[Age]]&lt;45,"35-44",Table1[[#This Row],[Age]]&lt;55,"45-54",TRUE,"55+")</f>
        <v>25-34</v>
      </c>
      <c r="L109" t="str">
        <f>"Q"&amp;ROUNDUP(MONTH(Table1[[#This Row],[Date]])/3,0)</f>
        <v>Q2</v>
      </c>
    </row>
    <row r="110" spans="1:12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5">
        <v>500</v>
      </c>
      <c r="I110" s="5">
        <v>2000</v>
      </c>
      <c r="J110" s="2" t="str">
        <f>TEXT(Table1[[#This Row],[Date]],"mmm")</f>
        <v>Oct</v>
      </c>
      <c r="K110" t="str" cm="1">
        <f t="array" ref="K110">_xlfn.IFS(Table1[[#This Row],[Age]]&lt;25,"18-24",Table1[[#This Row],[Age]]&lt;35,"25-34",Table1[[#This Row],[Age]]&lt;45,"35-44",Table1[[#This Row],[Age]]&lt;55,"45-54",TRUE,"55+")</f>
        <v>25-34</v>
      </c>
      <c r="L110" t="str">
        <f>"Q"&amp;ROUNDUP(MONTH(Table1[[#This Row],[Date]])/3,0)</f>
        <v>Q4</v>
      </c>
    </row>
    <row r="111" spans="1:12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5">
        <v>300</v>
      </c>
      <c r="I111" s="5">
        <v>900</v>
      </c>
      <c r="J111" s="2" t="str">
        <f>TEXT(Table1[[#This Row],[Date]],"mmm")</f>
        <v>Jun</v>
      </c>
      <c r="K111" t="str" cm="1">
        <f t="array" ref="K111">_xlfn.IFS(Table1[[#This Row],[Age]]&lt;25,"18-24",Table1[[#This Row],[Age]]&lt;35,"25-34",Table1[[#This Row],[Age]]&lt;45,"35-44",Table1[[#This Row],[Age]]&lt;55,"45-54",TRUE,"55+")</f>
        <v>25-34</v>
      </c>
      <c r="L111" t="str">
        <f>"Q"&amp;ROUNDUP(MONTH(Table1[[#This Row],[Date]])/3,0)</f>
        <v>Q2</v>
      </c>
    </row>
    <row r="112" spans="1:12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5">
        <v>500</v>
      </c>
      <c r="I112" s="5">
        <v>1500</v>
      </c>
      <c r="J112" s="2" t="str">
        <f>TEXT(Table1[[#This Row],[Date]],"mmm")</f>
        <v>Apr</v>
      </c>
      <c r="K112" t="str" cm="1">
        <f t="array" ref="K112">_xlfn.IFS(Table1[[#This Row],[Age]]&lt;25,"18-24",Table1[[#This Row],[Age]]&lt;35,"25-34",Table1[[#This Row],[Age]]&lt;45,"35-44",Table1[[#This Row],[Age]]&lt;55,"45-54",TRUE,"55+")</f>
        <v>25-34</v>
      </c>
      <c r="L112" t="str">
        <f>"Q"&amp;ROUNDUP(MONTH(Table1[[#This Row],[Date]])/3,0)</f>
        <v>Q2</v>
      </c>
    </row>
    <row r="113" spans="1:12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5">
        <v>500</v>
      </c>
      <c r="I113" s="5">
        <v>1500</v>
      </c>
      <c r="J113" s="2" t="str">
        <f>TEXT(Table1[[#This Row],[Date]],"mmm")</f>
        <v>Dec</v>
      </c>
      <c r="K113" t="str" cm="1">
        <f t="array" ref="K113">_xlfn.IFS(Table1[[#This Row],[Age]]&lt;25,"18-24",Table1[[#This Row],[Age]]&lt;35,"25-34",Table1[[#This Row],[Age]]&lt;45,"35-44",Table1[[#This Row],[Age]]&lt;55,"45-54",TRUE,"55+")</f>
        <v>35-44</v>
      </c>
      <c r="L113" t="str">
        <f>"Q"&amp;ROUNDUP(MONTH(Table1[[#This Row],[Date]])/3,0)</f>
        <v>Q4</v>
      </c>
    </row>
    <row r="114" spans="1:12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5">
        <v>25</v>
      </c>
      <c r="I114" s="5">
        <v>50</v>
      </c>
      <c r="J114" s="2" t="str">
        <f>TEXT(Table1[[#This Row],[Date]],"mmm")</f>
        <v>Sep</v>
      </c>
      <c r="K114" t="str" cm="1">
        <f t="array" ref="K114">_xlfn.IFS(Table1[[#This Row],[Age]]&lt;25,"18-24",Table1[[#This Row],[Age]]&lt;35,"25-34",Table1[[#This Row],[Age]]&lt;45,"35-44",Table1[[#This Row],[Age]]&lt;55,"45-54",TRUE,"55+")</f>
        <v>35-44</v>
      </c>
      <c r="L114" t="str">
        <f>"Q"&amp;ROUNDUP(MONTH(Table1[[#This Row],[Date]])/3,0)</f>
        <v>Q3</v>
      </c>
    </row>
    <row r="115" spans="1:12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5">
        <v>25</v>
      </c>
      <c r="I115" s="5">
        <v>100</v>
      </c>
      <c r="J115" s="2" t="str">
        <f>TEXT(Table1[[#This Row],[Date]],"mmm")</f>
        <v>Jul</v>
      </c>
      <c r="K115" t="str" cm="1">
        <f t="array" ref="K115">_xlfn.IFS(Table1[[#This Row],[Age]]&lt;25,"18-24",Table1[[#This Row],[Age]]&lt;35,"25-34",Table1[[#This Row],[Age]]&lt;45,"35-44",Table1[[#This Row],[Age]]&lt;55,"45-54",TRUE,"55+")</f>
        <v>18-24</v>
      </c>
      <c r="L115" t="str">
        <f>"Q"&amp;ROUNDUP(MONTH(Table1[[#This Row],[Date]])/3,0)</f>
        <v>Q3</v>
      </c>
    </row>
    <row r="116" spans="1:12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5">
        <v>500</v>
      </c>
      <c r="I116" s="5">
        <v>1500</v>
      </c>
      <c r="J116" s="2" t="str">
        <f>TEXT(Table1[[#This Row],[Date]],"mmm")</f>
        <v>Nov</v>
      </c>
      <c r="K116" t="str" cm="1">
        <f t="array" ref="K116">_xlfn.IFS(Table1[[#This Row],[Age]]&lt;25,"18-24",Table1[[#This Row],[Age]]&lt;35,"25-34",Table1[[#This Row],[Age]]&lt;45,"35-44",Table1[[#This Row],[Age]]&lt;55,"45-54",TRUE,"55+")</f>
        <v>45-54</v>
      </c>
      <c r="L116" t="str">
        <f>"Q"&amp;ROUNDUP(MONTH(Table1[[#This Row],[Date]])/3,0)</f>
        <v>Q4</v>
      </c>
    </row>
    <row r="117" spans="1:12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5">
        <v>30</v>
      </c>
      <c r="I117" s="5">
        <v>30</v>
      </c>
      <c r="J117" s="2" t="str">
        <f>TEXT(Table1[[#This Row],[Date]],"mmm")</f>
        <v>Aug</v>
      </c>
      <c r="K117" t="str" cm="1">
        <f t="array" ref="K117">_xlfn.IFS(Table1[[#This Row],[Age]]&lt;25,"18-24",Table1[[#This Row],[Age]]&lt;35,"25-34",Table1[[#This Row],[Age]]&lt;45,"35-44",Table1[[#This Row],[Age]]&lt;55,"45-54",TRUE,"55+")</f>
        <v>18-24</v>
      </c>
      <c r="L117" t="str">
        <f>"Q"&amp;ROUNDUP(MONTH(Table1[[#This Row],[Date]])/3,0)</f>
        <v>Q3</v>
      </c>
    </row>
    <row r="118" spans="1:12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5">
        <v>500</v>
      </c>
      <c r="I118" s="5">
        <v>1000</v>
      </c>
      <c r="J118" s="2" t="str">
        <f>TEXT(Table1[[#This Row],[Date]],"mmm")</f>
        <v>Mar</v>
      </c>
      <c r="K118" t="str" cm="1">
        <f t="array" ref="K118">_xlfn.IFS(Table1[[#This Row],[Age]]&lt;25,"18-24",Table1[[#This Row],[Age]]&lt;35,"25-34",Table1[[#This Row],[Age]]&lt;45,"35-44",Table1[[#This Row],[Age]]&lt;55,"45-54",TRUE,"55+")</f>
        <v>18-24</v>
      </c>
      <c r="L118" t="str">
        <f>"Q"&amp;ROUNDUP(MONTH(Table1[[#This Row],[Date]])/3,0)</f>
        <v>Q1</v>
      </c>
    </row>
    <row r="119" spans="1:12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5">
        <v>500</v>
      </c>
      <c r="I119" s="5">
        <v>2000</v>
      </c>
      <c r="J119" s="2" t="str">
        <f>TEXT(Table1[[#This Row],[Date]],"mmm")</f>
        <v>May</v>
      </c>
      <c r="K119" t="str" cm="1">
        <f t="array" ref="K119">_xlfn.IFS(Table1[[#This Row],[Age]]&lt;25,"18-24",Table1[[#This Row],[Age]]&lt;35,"25-34",Table1[[#This Row],[Age]]&lt;45,"35-44",Table1[[#This Row],[Age]]&lt;55,"45-54",TRUE,"55+")</f>
        <v>25-34</v>
      </c>
      <c r="L119" t="str">
        <f>"Q"&amp;ROUNDUP(MONTH(Table1[[#This Row],[Date]])/3,0)</f>
        <v>Q2</v>
      </c>
    </row>
    <row r="120" spans="1:12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5">
        <v>50</v>
      </c>
      <c r="I120" s="5">
        <v>150</v>
      </c>
      <c r="J120" s="2" t="str">
        <f>TEXT(Table1[[#This Row],[Date]],"mmm")</f>
        <v>Mar</v>
      </c>
      <c r="K120" t="str" cm="1">
        <f t="array" ref="K120">_xlfn.IFS(Table1[[#This Row],[Age]]&lt;25,"18-24",Table1[[#This Row],[Age]]&lt;35,"25-34",Table1[[#This Row],[Age]]&lt;45,"35-44",Table1[[#This Row],[Age]]&lt;55,"45-54",TRUE,"55+")</f>
        <v>55+</v>
      </c>
      <c r="L120" t="str">
        <f>"Q"&amp;ROUNDUP(MONTH(Table1[[#This Row],[Date]])/3,0)</f>
        <v>Q1</v>
      </c>
    </row>
    <row r="121" spans="1:12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5">
        <v>50</v>
      </c>
      <c r="I121" s="5">
        <v>50</v>
      </c>
      <c r="J121" s="2" t="str">
        <f>TEXT(Table1[[#This Row],[Date]],"mmm")</f>
        <v>May</v>
      </c>
      <c r="K121" t="str" cm="1">
        <f t="array" ref="K121">_xlfn.IFS(Table1[[#This Row],[Age]]&lt;25,"18-24",Table1[[#This Row],[Age]]&lt;35,"25-34",Table1[[#This Row],[Age]]&lt;45,"35-44",Table1[[#This Row],[Age]]&lt;55,"45-54",TRUE,"55+")</f>
        <v>55+</v>
      </c>
      <c r="L121" t="str">
        <f>"Q"&amp;ROUNDUP(MONTH(Table1[[#This Row],[Date]])/3,0)</f>
        <v>Q2</v>
      </c>
    </row>
    <row r="122" spans="1:12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5">
        <v>50</v>
      </c>
      <c r="I122" s="5">
        <v>200</v>
      </c>
      <c r="J122" s="2" t="str">
        <f>TEXT(Table1[[#This Row],[Date]],"mmm")</f>
        <v>Oct</v>
      </c>
      <c r="K122" t="str" cm="1">
        <f t="array" ref="K122">_xlfn.IFS(Table1[[#This Row],[Age]]&lt;25,"18-24",Table1[[#This Row],[Age]]&lt;35,"25-34",Table1[[#This Row],[Age]]&lt;45,"35-44",Table1[[#This Row],[Age]]&lt;55,"45-54",TRUE,"55+")</f>
        <v>25-34</v>
      </c>
      <c r="L122" t="str">
        <f>"Q"&amp;ROUNDUP(MONTH(Table1[[#This Row],[Date]])/3,0)</f>
        <v>Q4</v>
      </c>
    </row>
    <row r="123" spans="1:12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5">
        <v>30</v>
      </c>
      <c r="I123" s="5">
        <v>120</v>
      </c>
      <c r="J123" s="2" t="str">
        <f>TEXT(Table1[[#This Row],[Date]],"mmm")</f>
        <v>Oct</v>
      </c>
      <c r="K123" t="str" cm="1">
        <f t="array" ref="K123">_xlfn.IFS(Table1[[#This Row],[Age]]&lt;25,"18-24",Table1[[#This Row],[Age]]&lt;35,"25-34",Table1[[#This Row],[Age]]&lt;45,"35-44",Table1[[#This Row],[Age]]&lt;55,"45-54",TRUE,"55+")</f>
        <v>55+</v>
      </c>
      <c r="L123" t="str">
        <f>"Q"&amp;ROUNDUP(MONTH(Table1[[#This Row],[Date]])/3,0)</f>
        <v>Q4</v>
      </c>
    </row>
    <row r="124" spans="1:12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5">
        <v>30</v>
      </c>
      <c r="I124" s="5">
        <v>60</v>
      </c>
      <c r="J124" s="2" t="str">
        <f>TEXT(Table1[[#This Row],[Date]],"mmm")</f>
        <v>May</v>
      </c>
      <c r="K124" t="str" cm="1">
        <f t="array" ref="K124">_xlfn.IFS(Table1[[#This Row],[Age]]&lt;25,"18-24",Table1[[#This Row],[Age]]&lt;35,"25-34",Table1[[#This Row],[Age]]&lt;45,"35-44",Table1[[#This Row],[Age]]&lt;55,"45-54",TRUE,"55+")</f>
        <v>35-44</v>
      </c>
      <c r="L124" t="str">
        <f>"Q"&amp;ROUNDUP(MONTH(Table1[[#This Row],[Date]])/3,0)</f>
        <v>Q2</v>
      </c>
    </row>
    <row r="125" spans="1:12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5">
        <v>500</v>
      </c>
      <c r="I125" s="5">
        <v>2000</v>
      </c>
      <c r="J125" s="2" t="str">
        <f>TEXT(Table1[[#This Row],[Date]],"mmm")</f>
        <v>Oct</v>
      </c>
      <c r="K125" t="str" cm="1">
        <f t="array" ref="K125">_xlfn.IFS(Table1[[#This Row],[Age]]&lt;25,"18-24",Table1[[#This Row],[Age]]&lt;35,"25-34",Table1[[#This Row],[Age]]&lt;45,"35-44",Table1[[#This Row],[Age]]&lt;55,"45-54",TRUE,"55+")</f>
        <v>25-34</v>
      </c>
      <c r="L125" t="str">
        <f>"Q"&amp;ROUNDUP(MONTH(Table1[[#This Row],[Date]])/3,0)</f>
        <v>Q4</v>
      </c>
    </row>
    <row r="126" spans="1:12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5">
        <v>50</v>
      </c>
      <c r="I126" s="5">
        <v>100</v>
      </c>
      <c r="J126" s="2" t="str">
        <f>TEXT(Table1[[#This Row],[Date]],"mmm")</f>
        <v>Aug</v>
      </c>
      <c r="K126" t="str" cm="1">
        <f t="array" ref="K126">_xlfn.IFS(Table1[[#This Row],[Age]]&lt;25,"18-24",Table1[[#This Row],[Age]]&lt;35,"25-34",Table1[[#This Row],[Age]]&lt;45,"35-44",Table1[[#This Row],[Age]]&lt;55,"45-54",TRUE,"55+")</f>
        <v>45-54</v>
      </c>
      <c r="L126" t="str">
        <f>"Q"&amp;ROUNDUP(MONTH(Table1[[#This Row],[Date]])/3,0)</f>
        <v>Q3</v>
      </c>
    </row>
    <row r="127" spans="1:12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5">
        <v>30</v>
      </c>
      <c r="I127" s="5">
        <v>90</v>
      </c>
      <c r="J127" s="2" t="str">
        <f>TEXT(Table1[[#This Row],[Date]],"mmm")</f>
        <v>Oct</v>
      </c>
      <c r="K127" t="str" cm="1">
        <f t="array" ref="K127">_xlfn.IFS(Table1[[#This Row],[Age]]&lt;25,"18-24",Table1[[#This Row],[Age]]&lt;35,"25-34",Table1[[#This Row],[Age]]&lt;45,"35-44",Table1[[#This Row],[Age]]&lt;55,"45-54",TRUE,"55+")</f>
        <v>25-34</v>
      </c>
      <c r="L127" t="str">
        <f>"Q"&amp;ROUNDUP(MONTH(Table1[[#This Row],[Date]])/3,0)</f>
        <v>Q4</v>
      </c>
    </row>
    <row r="128" spans="1:12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5">
        <v>25</v>
      </c>
      <c r="I128" s="5">
        <v>50</v>
      </c>
      <c r="J128" s="2" t="str">
        <f>TEXT(Table1[[#This Row],[Date]],"mmm")</f>
        <v>Jul</v>
      </c>
      <c r="K128" t="str" cm="1">
        <f t="array" ref="K128">_xlfn.IFS(Table1[[#This Row],[Age]]&lt;25,"18-24",Table1[[#This Row],[Age]]&lt;35,"25-34",Table1[[#This Row],[Age]]&lt;45,"35-44",Table1[[#This Row],[Age]]&lt;55,"45-54",TRUE,"55+")</f>
        <v>25-34</v>
      </c>
      <c r="L128" t="str">
        <f>"Q"&amp;ROUNDUP(MONTH(Table1[[#This Row],[Date]])/3,0)</f>
        <v>Q3</v>
      </c>
    </row>
    <row r="129" spans="1:12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5">
        <v>500</v>
      </c>
      <c r="I129" s="5">
        <v>500</v>
      </c>
      <c r="J129" s="2" t="str">
        <f>TEXT(Table1[[#This Row],[Date]],"mmm")</f>
        <v>Jul</v>
      </c>
      <c r="K129" t="str" cm="1">
        <f t="array" ref="K129">_xlfn.IFS(Table1[[#This Row],[Age]]&lt;25,"18-24",Table1[[#This Row],[Age]]&lt;35,"25-34",Table1[[#This Row],[Age]]&lt;45,"35-44",Table1[[#This Row],[Age]]&lt;55,"45-54",TRUE,"55+")</f>
        <v>25-34</v>
      </c>
      <c r="L129" t="str">
        <f>"Q"&amp;ROUNDUP(MONTH(Table1[[#This Row],[Date]])/3,0)</f>
        <v>Q3</v>
      </c>
    </row>
    <row r="130" spans="1:12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5">
        <v>300</v>
      </c>
      <c r="I130" s="5">
        <v>600</v>
      </c>
      <c r="J130" s="2" t="str">
        <f>TEXT(Table1[[#This Row],[Date]],"mmm")</f>
        <v>Apr</v>
      </c>
      <c r="K130" t="str" cm="1">
        <f t="array" ref="K130">_xlfn.IFS(Table1[[#This Row],[Age]]&lt;25,"18-24",Table1[[#This Row],[Age]]&lt;35,"25-34",Table1[[#This Row],[Age]]&lt;45,"35-44",Table1[[#This Row],[Age]]&lt;55,"45-54",TRUE,"55+")</f>
        <v>18-24</v>
      </c>
      <c r="L130" t="str">
        <f>"Q"&amp;ROUNDUP(MONTH(Table1[[#This Row],[Date]])/3,0)</f>
        <v>Q2</v>
      </c>
    </row>
    <row r="131" spans="1:12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5">
        <v>500</v>
      </c>
      <c r="I131" s="5">
        <v>500</v>
      </c>
      <c r="J131" s="2" t="str">
        <f>TEXT(Table1[[#This Row],[Date]],"mmm")</f>
        <v>Mar</v>
      </c>
      <c r="K131" t="str" cm="1">
        <f t="array" ref="K131">_xlfn.IFS(Table1[[#This Row],[Age]]&lt;25,"18-24",Table1[[#This Row],[Age]]&lt;35,"25-34",Table1[[#This Row],[Age]]&lt;45,"35-44",Table1[[#This Row],[Age]]&lt;55,"45-54",TRUE,"55+")</f>
        <v>55+</v>
      </c>
      <c r="L131" t="str">
        <f>"Q"&amp;ROUNDUP(MONTH(Table1[[#This Row],[Date]])/3,0)</f>
        <v>Q1</v>
      </c>
    </row>
    <row r="132" spans="1:12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5">
        <v>300</v>
      </c>
      <c r="I132" s="5">
        <v>600</v>
      </c>
      <c r="J132" s="2" t="str">
        <f>TEXT(Table1[[#This Row],[Date]],"mmm")</f>
        <v>Sep</v>
      </c>
      <c r="K132" t="str" cm="1">
        <f t="array" ref="K132">_xlfn.IFS(Table1[[#This Row],[Age]]&lt;25,"18-24",Table1[[#This Row],[Age]]&lt;35,"25-34",Table1[[#This Row],[Age]]&lt;45,"35-44",Table1[[#This Row],[Age]]&lt;55,"45-54",TRUE,"55+")</f>
        <v>18-24</v>
      </c>
      <c r="L132" t="str">
        <f>"Q"&amp;ROUNDUP(MONTH(Table1[[#This Row],[Date]])/3,0)</f>
        <v>Q3</v>
      </c>
    </row>
    <row r="133" spans="1:12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5">
        <v>50</v>
      </c>
      <c r="I133" s="5">
        <v>200</v>
      </c>
      <c r="J133" s="2" t="str">
        <f>TEXT(Table1[[#This Row],[Date]],"mmm")</f>
        <v>Sep</v>
      </c>
      <c r="K133" t="str" cm="1">
        <f t="array" ref="K133">_xlfn.IFS(Table1[[#This Row],[Age]]&lt;25,"18-24",Table1[[#This Row],[Age]]&lt;35,"25-34",Table1[[#This Row],[Age]]&lt;45,"35-44",Table1[[#This Row],[Age]]&lt;55,"45-54",TRUE,"55+")</f>
        <v>35-44</v>
      </c>
      <c r="L133" t="str">
        <f>"Q"&amp;ROUNDUP(MONTH(Table1[[#This Row],[Date]])/3,0)</f>
        <v>Q3</v>
      </c>
    </row>
    <row r="134" spans="1:12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5">
        <v>300</v>
      </c>
      <c r="I134" s="5">
        <v>900</v>
      </c>
      <c r="J134" s="2" t="str">
        <f>TEXT(Table1[[#This Row],[Date]],"mmm")</f>
        <v>Feb</v>
      </c>
      <c r="K134" t="str" cm="1">
        <f t="array" ref="K134">_xlfn.IFS(Table1[[#This Row],[Age]]&lt;25,"18-24",Table1[[#This Row],[Age]]&lt;35,"25-34",Table1[[#This Row],[Age]]&lt;45,"35-44",Table1[[#This Row],[Age]]&lt;55,"45-54",TRUE,"55+")</f>
        <v>18-24</v>
      </c>
      <c r="L134" t="str">
        <f>"Q"&amp;ROUNDUP(MONTH(Table1[[#This Row],[Date]])/3,0)</f>
        <v>Q1</v>
      </c>
    </row>
    <row r="135" spans="1:12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5">
        <v>50</v>
      </c>
      <c r="I135" s="5">
        <v>50</v>
      </c>
      <c r="J135" s="2" t="str">
        <f>TEXT(Table1[[#This Row],[Date]],"mmm")</f>
        <v>Jan</v>
      </c>
      <c r="K135" t="str" cm="1">
        <f t="array" ref="K135">_xlfn.IFS(Table1[[#This Row],[Age]]&lt;25,"18-24",Table1[[#This Row],[Age]]&lt;35,"25-34",Table1[[#This Row],[Age]]&lt;45,"35-44",Table1[[#This Row],[Age]]&lt;55,"45-54",TRUE,"55+")</f>
        <v>45-54</v>
      </c>
      <c r="L135" t="str">
        <f>"Q"&amp;ROUNDUP(MONTH(Table1[[#This Row],[Date]])/3,0)</f>
        <v>Q1</v>
      </c>
    </row>
    <row r="136" spans="1:12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5">
        <v>25</v>
      </c>
      <c r="I136" s="5">
        <v>50</v>
      </c>
      <c r="J136" s="2" t="str">
        <f>TEXT(Table1[[#This Row],[Date]],"mmm")</f>
        <v>Feb</v>
      </c>
      <c r="K136" t="str" cm="1">
        <f t="array" ref="K136">_xlfn.IFS(Table1[[#This Row],[Age]]&lt;25,"18-24",Table1[[#This Row],[Age]]&lt;35,"25-34",Table1[[#This Row],[Age]]&lt;45,"35-44",Table1[[#This Row],[Age]]&lt;55,"45-54",TRUE,"55+")</f>
        <v>18-24</v>
      </c>
      <c r="L136" t="str">
        <f>"Q"&amp;ROUNDUP(MONTH(Table1[[#This Row],[Date]])/3,0)</f>
        <v>Q1</v>
      </c>
    </row>
    <row r="137" spans="1:12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5">
        <v>300</v>
      </c>
      <c r="I137" s="5">
        <v>600</v>
      </c>
      <c r="J137" s="2" t="str">
        <f>TEXT(Table1[[#This Row],[Date]],"mmm")</f>
        <v>Mar</v>
      </c>
      <c r="K137" t="str" cm="1">
        <f t="array" ref="K137">_xlfn.IFS(Table1[[#This Row],[Age]]&lt;25,"18-24",Table1[[#This Row],[Age]]&lt;35,"25-34",Table1[[#This Row],[Age]]&lt;45,"35-44",Table1[[#This Row],[Age]]&lt;55,"45-54",TRUE,"55+")</f>
        <v>35-44</v>
      </c>
      <c r="L137" t="str">
        <f>"Q"&amp;ROUNDUP(MONTH(Table1[[#This Row],[Date]])/3,0)</f>
        <v>Q1</v>
      </c>
    </row>
    <row r="138" spans="1:12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5">
        <v>500</v>
      </c>
      <c r="I138" s="5">
        <v>1000</v>
      </c>
      <c r="J138" s="2" t="str">
        <f>TEXT(Table1[[#This Row],[Date]],"mmm")</f>
        <v>Nov</v>
      </c>
      <c r="K138" t="str" cm="1">
        <f t="array" ref="K138">_xlfn.IFS(Table1[[#This Row],[Age]]&lt;25,"18-24",Table1[[#This Row],[Age]]&lt;35,"25-34",Table1[[#This Row],[Age]]&lt;45,"35-44",Table1[[#This Row],[Age]]&lt;55,"45-54",TRUE,"55+")</f>
        <v>45-54</v>
      </c>
      <c r="L138" t="str">
        <f>"Q"&amp;ROUNDUP(MONTH(Table1[[#This Row],[Date]])/3,0)</f>
        <v>Q4</v>
      </c>
    </row>
    <row r="139" spans="1:12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5">
        <v>50</v>
      </c>
      <c r="I139" s="5">
        <v>200</v>
      </c>
      <c r="J139" s="2" t="str">
        <f>TEXT(Table1[[#This Row],[Date]],"mmm")</f>
        <v>Mar</v>
      </c>
      <c r="K139" t="str" cm="1">
        <f t="array" ref="K139">_xlfn.IFS(Table1[[#This Row],[Age]]&lt;25,"18-24",Table1[[#This Row],[Age]]&lt;35,"25-34",Table1[[#This Row],[Age]]&lt;45,"35-44",Table1[[#This Row],[Age]]&lt;55,"45-54",TRUE,"55+")</f>
        <v>45-54</v>
      </c>
      <c r="L139" t="str">
        <f>"Q"&amp;ROUNDUP(MONTH(Table1[[#This Row],[Date]])/3,0)</f>
        <v>Q1</v>
      </c>
    </row>
    <row r="140" spans="1:12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5">
        <v>500</v>
      </c>
      <c r="I140" s="5">
        <v>2000</v>
      </c>
      <c r="J140" s="2" t="str">
        <f>TEXT(Table1[[#This Row],[Date]],"mmm")</f>
        <v>Dec</v>
      </c>
      <c r="K140" t="str" cm="1">
        <f t="array" ref="K140">_xlfn.IFS(Table1[[#This Row],[Age]]&lt;25,"18-24",Table1[[#This Row],[Age]]&lt;35,"25-34",Table1[[#This Row],[Age]]&lt;45,"35-44",Table1[[#This Row],[Age]]&lt;55,"45-54",TRUE,"55+")</f>
        <v>35-44</v>
      </c>
      <c r="L140" t="str">
        <f>"Q"&amp;ROUNDUP(MONTH(Table1[[#This Row],[Date]])/3,0)</f>
        <v>Q4</v>
      </c>
    </row>
    <row r="141" spans="1:12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5">
        <v>30</v>
      </c>
      <c r="I141" s="5">
        <v>30</v>
      </c>
      <c r="J141" s="2" t="str">
        <f>TEXT(Table1[[#This Row],[Date]],"mmm")</f>
        <v>Aug</v>
      </c>
      <c r="K141" t="str" cm="1">
        <f t="array" ref="K141">_xlfn.IFS(Table1[[#This Row],[Age]]&lt;25,"18-24",Table1[[#This Row],[Age]]&lt;35,"25-34",Table1[[#This Row],[Age]]&lt;45,"35-44",Table1[[#This Row],[Age]]&lt;55,"45-54",TRUE,"55+")</f>
        <v>35-44</v>
      </c>
      <c r="L141" t="str">
        <f>"Q"&amp;ROUNDUP(MONTH(Table1[[#This Row],[Date]])/3,0)</f>
        <v>Q3</v>
      </c>
    </row>
    <row r="142" spans="1:12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5">
        <v>50</v>
      </c>
      <c r="I142" s="5">
        <v>50</v>
      </c>
      <c r="J142" s="2" t="str">
        <f>TEXT(Table1[[#This Row],[Date]],"mmm")</f>
        <v>Nov</v>
      </c>
      <c r="K142" t="str" cm="1">
        <f t="array" ref="K142">_xlfn.IFS(Table1[[#This Row],[Age]]&lt;25,"18-24",Table1[[#This Row],[Age]]&lt;35,"25-34",Table1[[#This Row],[Age]]&lt;45,"35-44",Table1[[#This Row],[Age]]&lt;55,"45-54",TRUE,"55+")</f>
        <v>18-24</v>
      </c>
      <c r="L142" t="str">
        <f>"Q"&amp;ROUNDUP(MONTH(Table1[[#This Row],[Date]])/3,0)</f>
        <v>Q4</v>
      </c>
    </row>
    <row r="143" spans="1:12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5">
        <v>300</v>
      </c>
      <c r="I143" s="5">
        <v>1200</v>
      </c>
      <c r="J143" s="2" t="str">
        <f>TEXT(Table1[[#This Row],[Date]],"mmm")</f>
        <v>Feb</v>
      </c>
      <c r="K143" t="str" cm="1">
        <f t="array" ref="K143">_xlfn.IFS(Table1[[#This Row],[Age]]&lt;25,"18-24",Table1[[#This Row],[Age]]&lt;35,"25-34",Table1[[#This Row],[Age]]&lt;45,"35-44",Table1[[#This Row],[Age]]&lt;55,"45-54",TRUE,"55+")</f>
        <v>35-44</v>
      </c>
      <c r="L143" t="str">
        <f>"Q"&amp;ROUNDUP(MONTH(Table1[[#This Row],[Date]])/3,0)</f>
        <v>Q1</v>
      </c>
    </row>
    <row r="144" spans="1:12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5">
        <v>50</v>
      </c>
      <c r="I144" s="5">
        <v>50</v>
      </c>
      <c r="J144" s="2" t="str">
        <f>TEXT(Table1[[#This Row],[Date]],"mmm")</f>
        <v>Jul</v>
      </c>
      <c r="K144" t="str" cm="1">
        <f t="array" ref="K144">_xlfn.IFS(Table1[[#This Row],[Age]]&lt;25,"18-24",Table1[[#This Row],[Age]]&lt;35,"25-34",Table1[[#This Row],[Age]]&lt;45,"35-44",Table1[[#This Row],[Age]]&lt;55,"45-54",TRUE,"55+")</f>
        <v>45-54</v>
      </c>
      <c r="L144" t="str">
        <f>"Q"&amp;ROUNDUP(MONTH(Table1[[#This Row],[Date]])/3,0)</f>
        <v>Q3</v>
      </c>
    </row>
    <row r="145" spans="1:12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5">
        <v>500</v>
      </c>
      <c r="I145" s="5">
        <v>1500</v>
      </c>
      <c r="J145" s="2" t="str">
        <f>TEXT(Table1[[#This Row],[Date]],"mmm")</f>
        <v>Jul</v>
      </c>
      <c r="K145" t="str" cm="1">
        <f t="array" ref="K145">_xlfn.IFS(Table1[[#This Row],[Age]]&lt;25,"18-24",Table1[[#This Row],[Age]]&lt;35,"25-34",Table1[[#This Row],[Age]]&lt;45,"35-44",Table1[[#This Row],[Age]]&lt;55,"45-54",TRUE,"55+")</f>
        <v>55+</v>
      </c>
      <c r="L145" t="str">
        <f>"Q"&amp;ROUNDUP(MONTH(Table1[[#This Row],[Date]])/3,0)</f>
        <v>Q3</v>
      </c>
    </row>
    <row r="146" spans="1:12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5">
        <v>25</v>
      </c>
      <c r="I146" s="5">
        <v>75</v>
      </c>
      <c r="J146" s="2" t="str">
        <f>TEXT(Table1[[#This Row],[Date]],"mmm")</f>
        <v>Nov</v>
      </c>
      <c r="K146" t="str" cm="1">
        <f t="array" ref="K146">_xlfn.IFS(Table1[[#This Row],[Age]]&lt;25,"18-24",Table1[[#This Row],[Age]]&lt;35,"25-34",Table1[[#This Row],[Age]]&lt;45,"35-44",Table1[[#This Row],[Age]]&lt;55,"45-54",TRUE,"55+")</f>
        <v>35-44</v>
      </c>
      <c r="L146" t="str">
        <f>"Q"&amp;ROUNDUP(MONTH(Table1[[#This Row],[Date]])/3,0)</f>
        <v>Q4</v>
      </c>
    </row>
    <row r="147" spans="1:12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5">
        <v>50</v>
      </c>
      <c r="I147" s="5">
        <v>200</v>
      </c>
      <c r="J147" s="2" t="str">
        <f>TEXT(Table1[[#This Row],[Date]],"mmm")</f>
        <v>Aug</v>
      </c>
      <c r="K147" t="str" cm="1">
        <f t="array" ref="K147">_xlfn.IFS(Table1[[#This Row],[Age]]&lt;25,"18-24",Table1[[#This Row],[Age]]&lt;35,"25-34",Table1[[#This Row],[Age]]&lt;45,"35-44",Table1[[#This Row],[Age]]&lt;55,"45-54",TRUE,"55+")</f>
        <v>35-44</v>
      </c>
      <c r="L147" t="str">
        <f>"Q"&amp;ROUNDUP(MONTH(Table1[[#This Row],[Date]])/3,0)</f>
        <v>Q3</v>
      </c>
    </row>
    <row r="148" spans="1:12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5">
        <v>300</v>
      </c>
      <c r="I148" s="5">
        <v>300</v>
      </c>
      <c r="J148" s="2" t="str">
        <f>TEXT(Table1[[#This Row],[Date]],"mmm")</f>
        <v>Sep</v>
      </c>
      <c r="K148" t="str" cm="1">
        <f t="array" ref="K148">_xlfn.IFS(Table1[[#This Row],[Age]]&lt;25,"18-24",Table1[[#This Row],[Age]]&lt;35,"25-34",Table1[[#This Row],[Age]]&lt;45,"35-44",Table1[[#This Row],[Age]]&lt;55,"45-54",TRUE,"55+")</f>
        <v>18-24</v>
      </c>
      <c r="L148" t="str">
        <f>"Q"&amp;ROUNDUP(MONTH(Table1[[#This Row],[Date]])/3,0)</f>
        <v>Q3</v>
      </c>
    </row>
    <row r="149" spans="1:12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5">
        <v>30</v>
      </c>
      <c r="I149" s="5">
        <v>60</v>
      </c>
      <c r="J149" s="2" t="str">
        <f>TEXT(Table1[[#This Row],[Date]],"mmm")</f>
        <v>May</v>
      </c>
      <c r="K149" t="str" cm="1">
        <f t="array" ref="K149">_xlfn.IFS(Table1[[#This Row],[Age]]&lt;25,"18-24",Table1[[#This Row],[Age]]&lt;35,"25-34",Table1[[#This Row],[Age]]&lt;45,"35-44",Table1[[#This Row],[Age]]&lt;55,"45-54",TRUE,"55+")</f>
        <v>18-24</v>
      </c>
      <c r="L149" t="str">
        <f>"Q"&amp;ROUNDUP(MONTH(Table1[[#This Row],[Date]])/3,0)</f>
        <v>Q2</v>
      </c>
    </row>
    <row r="150" spans="1:12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5">
        <v>25</v>
      </c>
      <c r="I150" s="5">
        <v>75</v>
      </c>
      <c r="J150" s="2" t="str">
        <f>TEXT(Table1[[#This Row],[Date]],"mmm")</f>
        <v>Oct</v>
      </c>
      <c r="K150" t="str" cm="1">
        <f t="array" ref="K150">_xlfn.IFS(Table1[[#This Row],[Age]]&lt;25,"18-24",Table1[[#This Row],[Age]]&lt;35,"25-34",Table1[[#This Row],[Age]]&lt;45,"35-44",Table1[[#This Row],[Age]]&lt;55,"45-54",TRUE,"55+")</f>
        <v>18-24</v>
      </c>
      <c r="L150" t="str">
        <f>"Q"&amp;ROUNDUP(MONTH(Table1[[#This Row],[Date]])/3,0)</f>
        <v>Q4</v>
      </c>
    </row>
    <row r="151" spans="1:12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5">
        <v>30</v>
      </c>
      <c r="I151" s="5">
        <v>120</v>
      </c>
      <c r="J151" s="2" t="str">
        <f>TEXT(Table1[[#This Row],[Date]],"mmm")</f>
        <v>Jan</v>
      </c>
      <c r="K151" t="str" cm="1">
        <f t="array" ref="K151">_xlfn.IFS(Table1[[#This Row],[Age]]&lt;25,"18-24",Table1[[#This Row],[Age]]&lt;35,"25-34",Table1[[#This Row],[Age]]&lt;45,"35-44",Table1[[#This Row],[Age]]&lt;55,"45-54",TRUE,"55+")</f>
        <v>55+</v>
      </c>
      <c r="L151" t="str">
        <f>"Q"&amp;ROUNDUP(MONTH(Table1[[#This Row],[Date]])/3,0)</f>
        <v>Q1</v>
      </c>
    </row>
    <row r="152" spans="1:12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5">
        <v>50</v>
      </c>
      <c r="I152" s="5">
        <v>50</v>
      </c>
      <c r="J152" s="2" t="str">
        <f>TEXT(Table1[[#This Row],[Date]],"mmm")</f>
        <v>Dec</v>
      </c>
      <c r="K152" t="str" cm="1">
        <f t="array" ref="K152">_xlfn.IFS(Table1[[#This Row],[Age]]&lt;25,"18-24",Table1[[#This Row],[Age]]&lt;35,"25-34",Table1[[#This Row],[Age]]&lt;45,"35-44",Table1[[#This Row],[Age]]&lt;55,"45-54",TRUE,"55+")</f>
        <v>25-34</v>
      </c>
      <c r="L152" t="str">
        <f>"Q"&amp;ROUNDUP(MONTH(Table1[[#This Row],[Date]])/3,0)</f>
        <v>Q4</v>
      </c>
    </row>
    <row r="153" spans="1:12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5">
        <v>500</v>
      </c>
      <c r="I153" s="5">
        <v>2000</v>
      </c>
      <c r="J153" s="2" t="str">
        <f>TEXT(Table1[[#This Row],[Date]],"mmm")</f>
        <v>Feb</v>
      </c>
      <c r="K153" t="str" cm="1">
        <f t="array" ref="K153">_xlfn.IFS(Table1[[#This Row],[Age]]&lt;25,"18-24",Table1[[#This Row],[Age]]&lt;35,"25-34",Table1[[#This Row],[Age]]&lt;45,"35-44",Table1[[#This Row],[Age]]&lt;55,"45-54",TRUE,"55+")</f>
        <v>35-44</v>
      </c>
      <c r="L153" t="str">
        <f>"Q"&amp;ROUNDUP(MONTH(Table1[[#This Row],[Date]])/3,0)</f>
        <v>Q1</v>
      </c>
    </row>
    <row r="154" spans="1:12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5">
        <v>500</v>
      </c>
      <c r="I154" s="5">
        <v>1000</v>
      </c>
      <c r="J154" s="2" t="str">
        <f>TEXT(Table1[[#This Row],[Date]],"mmm")</f>
        <v>Dec</v>
      </c>
      <c r="K154" t="str" cm="1">
        <f t="array" ref="K154">_xlfn.IFS(Table1[[#This Row],[Age]]&lt;25,"18-24",Table1[[#This Row],[Age]]&lt;35,"25-34",Table1[[#This Row],[Age]]&lt;45,"35-44",Table1[[#This Row],[Age]]&lt;55,"45-54",TRUE,"55+")</f>
        <v>55+</v>
      </c>
      <c r="L154" t="str">
        <f>"Q"&amp;ROUNDUP(MONTH(Table1[[#This Row],[Date]])/3,0)</f>
        <v>Q4</v>
      </c>
    </row>
    <row r="155" spans="1:12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5">
        <v>300</v>
      </c>
      <c r="I155" s="5">
        <v>900</v>
      </c>
      <c r="J155" s="2" t="str">
        <f>TEXT(Table1[[#This Row],[Date]],"mmm")</f>
        <v>Oct</v>
      </c>
      <c r="K155" t="str" cm="1">
        <f t="array" ref="K155">_xlfn.IFS(Table1[[#This Row],[Age]]&lt;25,"18-24",Table1[[#This Row],[Age]]&lt;35,"25-34",Table1[[#This Row],[Age]]&lt;45,"35-44",Table1[[#This Row],[Age]]&lt;55,"45-54",TRUE,"55+")</f>
        <v>45-54</v>
      </c>
      <c r="L155" t="str">
        <f>"Q"&amp;ROUNDUP(MONTH(Table1[[#This Row],[Date]])/3,0)</f>
        <v>Q4</v>
      </c>
    </row>
    <row r="156" spans="1:12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5">
        <v>500</v>
      </c>
      <c r="I156" s="5">
        <v>2000</v>
      </c>
      <c r="J156" s="2" t="str">
        <f>TEXT(Table1[[#This Row],[Date]],"mmm")</f>
        <v>May</v>
      </c>
      <c r="K156" t="str" cm="1">
        <f t="array" ref="K156">_xlfn.IFS(Table1[[#This Row],[Age]]&lt;25,"18-24",Table1[[#This Row],[Age]]&lt;35,"25-34",Table1[[#This Row],[Age]]&lt;45,"35-44",Table1[[#This Row],[Age]]&lt;55,"45-54",TRUE,"55+")</f>
        <v>25-34</v>
      </c>
      <c r="L156" t="str">
        <f>"Q"&amp;ROUNDUP(MONTH(Table1[[#This Row],[Date]])/3,0)</f>
        <v>Q2</v>
      </c>
    </row>
    <row r="157" spans="1:12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5">
        <v>25</v>
      </c>
      <c r="I157" s="5">
        <v>100</v>
      </c>
      <c r="J157" s="2" t="str">
        <f>TEXT(Table1[[#This Row],[Date]],"mmm")</f>
        <v>Nov</v>
      </c>
      <c r="K157" t="str" cm="1">
        <f t="array" ref="K157">_xlfn.IFS(Table1[[#This Row],[Age]]&lt;25,"18-24",Table1[[#This Row],[Age]]&lt;35,"25-34",Table1[[#This Row],[Age]]&lt;45,"35-44",Table1[[#This Row],[Age]]&lt;55,"45-54",TRUE,"55+")</f>
        <v>35-44</v>
      </c>
      <c r="L157" t="str">
        <f>"Q"&amp;ROUNDUP(MONTH(Table1[[#This Row],[Date]])/3,0)</f>
        <v>Q4</v>
      </c>
    </row>
    <row r="158" spans="1:12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5">
        <v>500</v>
      </c>
      <c r="I158" s="5">
        <v>2000</v>
      </c>
      <c r="J158" s="2" t="str">
        <f>TEXT(Table1[[#This Row],[Date]],"mmm")</f>
        <v>Jun</v>
      </c>
      <c r="K158" t="str" cm="1">
        <f t="array" ref="K158">_xlfn.IFS(Table1[[#This Row],[Age]]&lt;25,"18-24",Table1[[#This Row],[Age]]&lt;35,"25-34",Table1[[#This Row],[Age]]&lt;45,"35-44",Table1[[#This Row],[Age]]&lt;55,"45-54",TRUE,"55+")</f>
        <v>55+</v>
      </c>
      <c r="L158" t="str">
        <f>"Q"&amp;ROUNDUP(MONTH(Table1[[#This Row],[Date]])/3,0)</f>
        <v>Q2</v>
      </c>
    </row>
    <row r="159" spans="1:12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5">
        <v>300</v>
      </c>
      <c r="I159" s="5">
        <v>600</v>
      </c>
      <c r="J159" s="2" t="str">
        <f>TEXT(Table1[[#This Row],[Date]],"mmm")</f>
        <v>Feb</v>
      </c>
      <c r="K159" t="str" cm="1">
        <f t="array" ref="K159">_xlfn.IFS(Table1[[#This Row],[Age]]&lt;25,"18-24",Table1[[#This Row],[Age]]&lt;35,"25-34",Table1[[#This Row],[Age]]&lt;45,"35-44",Table1[[#This Row],[Age]]&lt;55,"45-54",TRUE,"55+")</f>
        <v>35-44</v>
      </c>
      <c r="L159" t="str">
        <f>"Q"&amp;ROUNDUP(MONTH(Table1[[#This Row],[Date]])/3,0)</f>
        <v>Q1</v>
      </c>
    </row>
    <row r="160" spans="1:12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5">
        <v>50</v>
      </c>
      <c r="I160" s="5">
        <v>200</v>
      </c>
      <c r="J160" s="2" t="str">
        <f>TEXT(Table1[[#This Row],[Date]],"mmm")</f>
        <v>May</v>
      </c>
      <c r="K160" t="str" cm="1">
        <f t="array" ref="K160">_xlfn.IFS(Table1[[#This Row],[Age]]&lt;25,"18-24",Table1[[#This Row],[Age]]&lt;35,"25-34",Table1[[#This Row],[Age]]&lt;45,"35-44",Table1[[#This Row],[Age]]&lt;55,"45-54",TRUE,"55+")</f>
        <v>25-34</v>
      </c>
      <c r="L160" t="str">
        <f>"Q"&amp;ROUNDUP(MONTH(Table1[[#This Row],[Date]])/3,0)</f>
        <v>Q2</v>
      </c>
    </row>
    <row r="161" spans="1:12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5">
        <v>50</v>
      </c>
      <c r="I161" s="5">
        <v>100</v>
      </c>
      <c r="J161" s="2" t="str">
        <f>TEXT(Table1[[#This Row],[Date]],"mmm")</f>
        <v>Aug</v>
      </c>
      <c r="K161" t="str" cm="1">
        <f t="array" ref="K161">_xlfn.IFS(Table1[[#This Row],[Age]]&lt;25,"18-24",Table1[[#This Row],[Age]]&lt;35,"25-34",Table1[[#This Row],[Age]]&lt;45,"35-44",Table1[[#This Row],[Age]]&lt;55,"45-54",TRUE,"55+")</f>
        <v>35-44</v>
      </c>
      <c r="L161" t="str">
        <f>"Q"&amp;ROUNDUP(MONTH(Table1[[#This Row],[Date]])/3,0)</f>
        <v>Q3</v>
      </c>
    </row>
    <row r="162" spans="1:12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5">
        <v>500</v>
      </c>
      <c r="I162" s="5">
        <v>1000</v>
      </c>
      <c r="J162" s="2" t="str">
        <f>TEXT(Table1[[#This Row],[Date]],"mmm")</f>
        <v>Mar</v>
      </c>
      <c r="K162" t="str" cm="1">
        <f t="array" ref="K162">_xlfn.IFS(Table1[[#This Row],[Age]]&lt;25,"18-24",Table1[[#This Row],[Age]]&lt;35,"25-34",Table1[[#This Row],[Age]]&lt;45,"35-44",Table1[[#This Row],[Age]]&lt;55,"45-54",TRUE,"55+")</f>
        <v>55+</v>
      </c>
      <c r="L162" t="str">
        <f>"Q"&amp;ROUNDUP(MONTH(Table1[[#This Row],[Date]])/3,0)</f>
        <v>Q1</v>
      </c>
    </row>
    <row r="163" spans="1:12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5">
        <v>30</v>
      </c>
      <c r="I163" s="5">
        <v>60</v>
      </c>
      <c r="J163" s="2" t="str">
        <f>TEXT(Table1[[#This Row],[Date]],"mmm")</f>
        <v>Aug</v>
      </c>
      <c r="K163" t="str" cm="1">
        <f t="array" ref="K163">_xlfn.IFS(Table1[[#This Row],[Age]]&lt;25,"18-24",Table1[[#This Row],[Age]]&lt;35,"25-34",Table1[[#This Row],[Age]]&lt;45,"35-44",Table1[[#This Row],[Age]]&lt;55,"45-54",TRUE,"55+")</f>
        <v>35-44</v>
      </c>
      <c r="L163" t="str">
        <f>"Q"&amp;ROUNDUP(MONTH(Table1[[#This Row],[Date]])/3,0)</f>
        <v>Q3</v>
      </c>
    </row>
    <row r="164" spans="1:12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5">
        <v>50</v>
      </c>
      <c r="I164" s="5">
        <v>150</v>
      </c>
      <c r="J164" s="2" t="str">
        <f>TEXT(Table1[[#This Row],[Date]],"mmm")</f>
        <v>Jan</v>
      </c>
      <c r="K164" t="str" cm="1">
        <f t="array" ref="K164">_xlfn.IFS(Table1[[#This Row],[Age]]&lt;25,"18-24",Table1[[#This Row],[Age]]&lt;35,"25-34",Table1[[#This Row],[Age]]&lt;45,"35-44",Table1[[#This Row],[Age]]&lt;55,"45-54",TRUE,"55+")</f>
        <v>55+</v>
      </c>
      <c r="L164" t="str">
        <f>"Q"&amp;ROUNDUP(MONTH(Table1[[#This Row],[Date]])/3,0)</f>
        <v>Q1</v>
      </c>
    </row>
    <row r="165" spans="1:12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5">
        <v>500</v>
      </c>
      <c r="I165" s="5">
        <v>1500</v>
      </c>
      <c r="J165" s="2" t="str">
        <f>TEXT(Table1[[#This Row],[Date]],"mmm")</f>
        <v>May</v>
      </c>
      <c r="K165" t="str" cm="1">
        <f t="array" ref="K165">_xlfn.IFS(Table1[[#This Row],[Age]]&lt;25,"18-24",Table1[[#This Row],[Age]]&lt;35,"25-34",Table1[[#This Row],[Age]]&lt;45,"35-44",Table1[[#This Row],[Age]]&lt;55,"45-54",TRUE,"55+")</f>
        <v>45-54</v>
      </c>
      <c r="L165" t="str">
        <f>"Q"&amp;ROUNDUP(MONTH(Table1[[#This Row],[Date]])/3,0)</f>
        <v>Q2</v>
      </c>
    </row>
    <row r="166" spans="1:12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5">
        <v>300</v>
      </c>
      <c r="I166" s="5">
        <v>1200</v>
      </c>
      <c r="J166" s="2" t="str">
        <f>TEXT(Table1[[#This Row],[Date]],"mmm")</f>
        <v>Sep</v>
      </c>
      <c r="K166" t="str" cm="1">
        <f t="array" ref="K166">_xlfn.IFS(Table1[[#This Row],[Age]]&lt;25,"18-24",Table1[[#This Row],[Age]]&lt;35,"25-34",Table1[[#This Row],[Age]]&lt;45,"35-44",Table1[[#This Row],[Age]]&lt;55,"45-54",TRUE,"55+")</f>
        <v>55+</v>
      </c>
      <c r="L166" t="str">
        <f>"Q"&amp;ROUNDUP(MONTH(Table1[[#This Row],[Date]])/3,0)</f>
        <v>Q3</v>
      </c>
    </row>
    <row r="167" spans="1:12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5">
        <v>500</v>
      </c>
      <c r="I167" s="5">
        <v>2000</v>
      </c>
      <c r="J167" s="2" t="str">
        <f>TEXT(Table1[[#This Row],[Date]],"mmm")</f>
        <v>Apr</v>
      </c>
      <c r="K167" t="str" cm="1">
        <f t="array" ref="K167">_xlfn.IFS(Table1[[#This Row],[Age]]&lt;25,"18-24",Table1[[#This Row],[Age]]&lt;35,"25-34",Table1[[#This Row],[Age]]&lt;45,"35-44",Table1[[#This Row],[Age]]&lt;55,"45-54",TRUE,"55+")</f>
        <v>25-34</v>
      </c>
      <c r="L167" t="str">
        <f>"Q"&amp;ROUNDUP(MONTH(Table1[[#This Row],[Date]])/3,0)</f>
        <v>Q2</v>
      </c>
    </row>
    <row r="168" spans="1:12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5">
        <v>50</v>
      </c>
      <c r="I168" s="5">
        <v>150</v>
      </c>
      <c r="J168" s="2" t="str">
        <f>TEXT(Table1[[#This Row],[Date]],"mmm")</f>
        <v>Sep</v>
      </c>
      <c r="K168" t="str" cm="1">
        <f t="array" ref="K168">_xlfn.IFS(Table1[[#This Row],[Age]]&lt;25,"18-24",Table1[[#This Row],[Age]]&lt;35,"25-34",Table1[[#This Row],[Age]]&lt;45,"35-44",Table1[[#This Row],[Age]]&lt;55,"45-54",TRUE,"55+")</f>
        <v>35-44</v>
      </c>
      <c r="L168" t="str">
        <f>"Q"&amp;ROUNDUP(MONTH(Table1[[#This Row],[Date]])/3,0)</f>
        <v>Q3</v>
      </c>
    </row>
    <row r="169" spans="1:12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5">
        <v>300</v>
      </c>
      <c r="I169" s="5">
        <v>300</v>
      </c>
      <c r="J169" s="2" t="str">
        <f>TEXT(Table1[[#This Row],[Date]],"mmm")</f>
        <v>Feb</v>
      </c>
      <c r="K169" t="str" cm="1">
        <f t="array" ref="K169">_xlfn.IFS(Table1[[#This Row],[Age]]&lt;25,"18-24",Table1[[#This Row],[Age]]&lt;35,"25-34",Table1[[#This Row],[Age]]&lt;45,"35-44",Table1[[#This Row],[Age]]&lt;55,"45-54",TRUE,"55+")</f>
        <v>45-54</v>
      </c>
      <c r="L169" t="str">
        <f>"Q"&amp;ROUNDUP(MONTH(Table1[[#This Row],[Date]])/3,0)</f>
        <v>Q1</v>
      </c>
    </row>
    <row r="170" spans="1:12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5">
        <v>500</v>
      </c>
      <c r="I170" s="5">
        <v>1500</v>
      </c>
      <c r="J170" s="2" t="str">
        <f>TEXT(Table1[[#This Row],[Date]],"mmm")</f>
        <v>Nov</v>
      </c>
      <c r="K170" t="str" cm="1">
        <f t="array" ref="K170">_xlfn.IFS(Table1[[#This Row],[Age]]&lt;25,"18-24",Table1[[#This Row],[Age]]&lt;35,"25-34",Table1[[#This Row],[Age]]&lt;45,"35-44",Table1[[#This Row],[Age]]&lt;55,"45-54",TRUE,"55+")</f>
        <v>18-24</v>
      </c>
      <c r="L170" t="str">
        <f>"Q"&amp;ROUNDUP(MONTH(Table1[[#This Row],[Date]])/3,0)</f>
        <v>Q4</v>
      </c>
    </row>
    <row r="171" spans="1:12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5">
        <v>25</v>
      </c>
      <c r="I171" s="5">
        <v>50</v>
      </c>
      <c r="J171" s="2" t="str">
        <f>TEXT(Table1[[#This Row],[Date]],"mmm")</f>
        <v>Jun</v>
      </c>
      <c r="K171" t="str" cm="1">
        <f t="array" ref="K171">_xlfn.IFS(Table1[[#This Row],[Age]]&lt;25,"18-24",Table1[[#This Row],[Age]]&lt;35,"25-34",Table1[[#This Row],[Age]]&lt;45,"35-44",Table1[[#This Row],[Age]]&lt;55,"45-54",TRUE,"55+")</f>
        <v>25-34</v>
      </c>
      <c r="L171" t="str">
        <f>"Q"&amp;ROUNDUP(MONTH(Table1[[#This Row],[Date]])/3,0)</f>
        <v>Q2</v>
      </c>
    </row>
    <row r="172" spans="1:12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5">
        <v>300</v>
      </c>
      <c r="I172" s="5">
        <v>900</v>
      </c>
      <c r="J172" s="2" t="str">
        <f>TEXT(Table1[[#This Row],[Date]],"mmm")</f>
        <v>Nov</v>
      </c>
      <c r="K172" t="str" cm="1">
        <f t="array" ref="K172">_xlfn.IFS(Table1[[#This Row],[Age]]&lt;25,"18-24",Table1[[#This Row],[Age]]&lt;35,"25-34",Table1[[#This Row],[Age]]&lt;45,"35-44",Table1[[#This Row],[Age]]&lt;55,"45-54",TRUE,"55+")</f>
        <v>45-54</v>
      </c>
      <c r="L172" t="str">
        <f>"Q"&amp;ROUNDUP(MONTH(Table1[[#This Row],[Date]])/3,0)</f>
        <v>Q4</v>
      </c>
    </row>
    <row r="173" spans="1:12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5">
        <v>25</v>
      </c>
      <c r="I173" s="5">
        <v>50</v>
      </c>
      <c r="J173" s="2" t="str">
        <f>TEXT(Table1[[#This Row],[Date]],"mmm")</f>
        <v>Sep</v>
      </c>
      <c r="K173" t="str" cm="1">
        <f t="array" ref="K173">_xlfn.IFS(Table1[[#This Row],[Age]]&lt;25,"18-24",Table1[[#This Row],[Age]]&lt;35,"25-34",Table1[[#This Row],[Age]]&lt;45,"35-44",Table1[[#This Row],[Age]]&lt;55,"45-54",TRUE,"55+")</f>
        <v>25-34</v>
      </c>
      <c r="L173" t="str">
        <f>"Q"&amp;ROUNDUP(MONTH(Table1[[#This Row],[Date]])/3,0)</f>
        <v>Q3</v>
      </c>
    </row>
    <row r="174" spans="1:12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5">
        <v>30</v>
      </c>
      <c r="I174" s="5">
        <v>120</v>
      </c>
      <c r="J174" s="2" t="str">
        <f>TEXT(Table1[[#This Row],[Date]],"mmm")</f>
        <v>Nov</v>
      </c>
      <c r="K174" t="str" cm="1">
        <f t="array" ref="K174">_xlfn.IFS(Table1[[#This Row],[Age]]&lt;25,"18-24",Table1[[#This Row],[Age]]&lt;35,"25-34",Table1[[#This Row],[Age]]&lt;45,"35-44",Table1[[#This Row],[Age]]&lt;55,"45-54",TRUE,"55+")</f>
        <v>55+</v>
      </c>
      <c r="L174" t="str">
        <f>"Q"&amp;ROUNDUP(MONTH(Table1[[#This Row],[Date]])/3,0)</f>
        <v>Q4</v>
      </c>
    </row>
    <row r="175" spans="1:12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5">
        <v>300</v>
      </c>
      <c r="I175" s="5">
        <v>300</v>
      </c>
      <c r="J175" s="2" t="str">
        <f>TEXT(Table1[[#This Row],[Date]],"mmm")</f>
        <v>Apr</v>
      </c>
      <c r="K175" t="str" cm="1">
        <f t="array" ref="K175">_xlfn.IFS(Table1[[#This Row],[Age]]&lt;25,"18-24",Table1[[#This Row],[Age]]&lt;35,"25-34",Table1[[#This Row],[Age]]&lt;45,"35-44",Table1[[#This Row],[Age]]&lt;55,"45-54",TRUE,"55+")</f>
        <v>35-44</v>
      </c>
      <c r="L175" t="str">
        <f>"Q"&amp;ROUNDUP(MONTH(Table1[[#This Row],[Date]])/3,0)</f>
        <v>Q2</v>
      </c>
    </row>
    <row r="176" spans="1:12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5">
        <v>25</v>
      </c>
      <c r="I176" s="5">
        <v>100</v>
      </c>
      <c r="J176" s="2" t="str">
        <f>TEXT(Table1[[#This Row],[Date]],"mmm")</f>
        <v>Mar</v>
      </c>
      <c r="K176" t="str" cm="1">
        <f t="array" ref="K176">_xlfn.IFS(Table1[[#This Row],[Age]]&lt;25,"18-24",Table1[[#This Row],[Age]]&lt;35,"25-34",Table1[[#This Row],[Age]]&lt;45,"35-44",Table1[[#This Row],[Age]]&lt;55,"45-54",TRUE,"55+")</f>
        <v>25-34</v>
      </c>
      <c r="L176" t="str">
        <f>"Q"&amp;ROUNDUP(MONTH(Table1[[#This Row],[Date]])/3,0)</f>
        <v>Q1</v>
      </c>
    </row>
    <row r="177" spans="1:12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5">
        <v>50</v>
      </c>
      <c r="I177" s="5">
        <v>100</v>
      </c>
      <c r="J177" s="2" t="str">
        <f>TEXT(Table1[[#This Row],[Date]],"mmm")</f>
        <v>Jul</v>
      </c>
      <c r="K177" t="str" cm="1">
        <f t="array" ref="K177">_xlfn.IFS(Table1[[#This Row],[Age]]&lt;25,"18-24",Table1[[#This Row],[Age]]&lt;35,"25-34",Table1[[#This Row],[Age]]&lt;45,"35-44",Table1[[#This Row],[Age]]&lt;55,"45-54",TRUE,"55+")</f>
        <v>35-44</v>
      </c>
      <c r="L177" t="str">
        <f>"Q"&amp;ROUNDUP(MONTH(Table1[[#This Row],[Date]])/3,0)</f>
        <v>Q3</v>
      </c>
    </row>
    <row r="178" spans="1:12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5">
        <v>50</v>
      </c>
      <c r="I178" s="5">
        <v>100</v>
      </c>
      <c r="J178" s="2" t="str">
        <f>TEXT(Table1[[#This Row],[Date]],"mmm")</f>
        <v>Mar</v>
      </c>
      <c r="K178" t="str" cm="1">
        <f t="array" ref="K178">_xlfn.IFS(Table1[[#This Row],[Age]]&lt;25,"18-24",Table1[[#This Row],[Age]]&lt;35,"25-34",Table1[[#This Row],[Age]]&lt;45,"35-44",Table1[[#This Row],[Age]]&lt;55,"45-54",TRUE,"55+")</f>
        <v>45-54</v>
      </c>
      <c r="L178" t="str">
        <f>"Q"&amp;ROUNDUP(MONTH(Table1[[#This Row],[Date]])/3,0)</f>
        <v>Q1</v>
      </c>
    </row>
    <row r="179" spans="1:12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5">
        <v>30</v>
      </c>
      <c r="I179" s="5">
        <v>60</v>
      </c>
      <c r="J179" s="2" t="str">
        <f>TEXT(Table1[[#This Row],[Date]],"mmm")</f>
        <v>Oct</v>
      </c>
      <c r="K179" t="str" cm="1">
        <f t="array" ref="K179">_xlfn.IFS(Table1[[#This Row],[Age]]&lt;25,"18-24",Table1[[#This Row],[Age]]&lt;35,"25-34",Table1[[#This Row],[Age]]&lt;45,"35-44",Table1[[#This Row],[Age]]&lt;55,"45-54",TRUE,"55+")</f>
        <v>35-44</v>
      </c>
      <c r="L179" t="str">
        <f>"Q"&amp;ROUNDUP(MONTH(Table1[[#This Row],[Date]])/3,0)</f>
        <v>Q4</v>
      </c>
    </row>
    <row r="180" spans="1:12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5">
        <v>300</v>
      </c>
      <c r="I180" s="5">
        <v>300</v>
      </c>
      <c r="J180" s="2" t="str">
        <f>TEXT(Table1[[#This Row],[Date]],"mmm")</f>
        <v>Sep</v>
      </c>
      <c r="K180" t="str" cm="1">
        <f t="array" ref="K180">_xlfn.IFS(Table1[[#This Row],[Age]]&lt;25,"18-24",Table1[[#This Row],[Age]]&lt;35,"25-34",Table1[[#This Row],[Age]]&lt;45,"35-44",Table1[[#This Row],[Age]]&lt;55,"45-54",TRUE,"55+")</f>
        <v>25-34</v>
      </c>
      <c r="L180" t="str">
        <f>"Q"&amp;ROUNDUP(MONTH(Table1[[#This Row],[Date]])/3,0)</f>
        <v>Q3</v>
      </c>
    </row>
    <row r="181" spans="1:12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5">
        <v>300</v>
      </c>
      <c r="I181" s="5">
        <v>900</v>
      </c>
      <c r="J181" s="2" t="str">
        <f>TEXT(Table1[[#This Row],[Date]],"mmm")</f>
        <v>Jan</v>
      </c>
      <c r="K181" t="str" cm="1">
        <f t="array" ref="K181">_xlfn.IFS(Table1[[#This Row],[Age]]&lt;25,"18-24",Table1[[#This Row],[Age]]&lt;35,"25-34",Table1[[#This Row],[Age]]&lt;45,"35-44",Table1[[#This Row],[Age]]&lt;55,"45-54",TRUE,"55+")</f>
        <v>35-44</v>
      </c>
      <c r="L181" t="str">
        <f>"Q"&amp;ROUNDUP(MONTH(Table1[[#This Row],[Date]])/3,0)</f>
        <v>Q1</v>
      </c>
    </row>
    <row r="182" spans="1:12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5">
        <v>300</v>
      </c>
      <c r="I182" s="5">
        <v>1200</v>
      </c>
      <c r="J182" s="2" t="str">
        <f>TEXT(Table1[[#This Row],[Date]],"mmm")</f>
        <v>Nov</v>
      </c>
      <c r="K182" t="str" cm="1">
        <f t="array" ref="K182">_xlfn.IFS(Table1[[#This Row],[Age]]&lt;25,"18-24",Table1[[#This Row],[Age]]&lt;35,"25-34",Table1[[#This Row],[Age]]&lt;45,"35-44",Table1[[#This Row],[Age]]&lt;55,"45-54",TRUE,"55+")</f>
        <v>18-24</v>
      </c>
      <c r="L182" t="str">
        <f>"Q"&amp;ROUNDUP(MONTH(Table1[[#This Row],[Date]])/3,0)</f>
        <v>Q4</v>
      </c>
    </row>
    <row r="183" spans="1:12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5">
        <v>30</v>
      </c>
      <c r="I183" s="5">
        <v>120</v>
      </c>
      <c r="J183" s="2" t="str">
        <f>TEXT(Table1[[#This Row],[Date]],"mmm")</f>
        <v>Jun</v>
      </c>
      <c r="K183" t="str" cm="1">
        <f t="array" ref="K183">_xlfn.IFS(Table1[[#This Row],[Age]]&lt;25,"18-24",Table1[[#This Row],[Age]]&lt;35,"25-34",Table1[[#This Row],[Age]]&lt;45,"35-44",Table1[[#This Row],[Age]]&lt;55,"45-54",TRUE,"55+")</f>
        <v>55+</v>
      </c>
      <c r="L183" t="str">
        <f>"Q"&amp;ROUNDUP(MONTH(Table1[[#This Row],[Date]])/3,0)</f>
        <v>Q2</v>
      </c>
    </row>
    <row r="184" spans="1:12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5">
        <v>300</v>
      </c>
      <c r="I184" s="5">
        <v>900</v>
      </c>
      <c r="J184" s="2" t="str">
        <f>TEXT(Table1[[#This Row],[Date]],"mmm")</f>
        <v>Sep</v>
      </c>
      <c r="K184" t="str" cm="1">
        <f t="array" ref="K184">_xlfn.IFS(Table1[[#This Row],[Age]]&lt;25,"18-24",Table1[[#This Row],[Age]]&lt;35,"25-34",Table1[[#This Row],[Age]]&lt;45,"35-44",Table1[[#This Row],[Age]]&lt;55,"45-54",TRUE,"55+")</f>
        <v>35-44</v>
      </c>
      <c r="L184" t="str">
        <f>"Q"&amp;ROUNDUP(MONTH(Table1[[#This Row],[Date]])/3,0)</f>
        <v>Q3</v>
      </c>
    </row>
    <row r="185" spans="1:12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5">
        <v>50</v>
      </c>
      <c r="I185" s="5">
        <v>200</v>
      </c>
      <c r="J185" s="2" t="str">
        <f>TEXT(Table1[[#This Row],[Date]],"mmm")</f>
        <v>Jan</v>
      </c>
      <c r="K185" t="str" cm="1">
        <f t="array" ref="K185">_xlfn.IFS(Table1[[#This Row],[Age]]&lt;25,"18-24",Table1[[#This Row],[Age]]&lt;35,"25-34",Table1[[#This Row],[Age]]&lt;45,"35-44",Table1[[#This Row],[Age]]&lt;55,"45-54",TRUE,"55+")</f>
        <v>25-34</v>
      </c>
      <c r="L185" t="str">
        <f>"Q"&amp;ROUNDUP(MONTH(Table1[[#This Row],[Date]])/3,0)</f>
        <v>Q1</v>
      </c>
    </row>
    <row r="186" spans="1:12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5">
        <v>25</v>
      </c>
      <c r="I186" s="5">
        <v>25</v>
      </c>
      <c r="J186" s="2" t="str">
        <f>TEXT(Table1[[#This Row],[Date]],"mmm")</f>
        <v>Feb</v>
      </c>
      <c r="K186" t="str" cm="1">
        <f t="array" ref="K186">_xlfn.IFS(Table1[[#This Row],[Age]]&lt;25,"18-24",Table1[[#This Row],[Age]]&lt;35,"25-34",Table1[[#This Row],[Age]]&lt;45,"35-44",Table1[[#This Row],[Age]]&lt;55,"45-54",TRUE,"55+")</f>
        <v>18-24</v>
      </c>
      <c r="L186" t="str">
        <f>"Q"&amp;ROUNDUP(MONTH(Table1[[#This Row],[Date]])/3,0)</f>
        <v>Q1</v>
      </c>
    </row>
    <row r="187" spans="1:12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5">
        <v>50</v>
      </c>
      <c r="I187" s="5">
        <v>200</v>
      </c>
      <c r="J187" s="2" t="str">
        <f>TEXT(Table1[[#This Row],[Date]],"mmm")</f>
        <v>Jul</v>
      </c>
      <c r="K187" t="str" cm="1">
        <f t="array" ref="K187">_xlfn.IFS(Table1[[#This Row],[Age]]&lt;25,"18-24",Table1[[#This Row],[Age]]&lt;35,"25-34",Table1[[#This Row],[Age]]&lt;45,"35-44",Table1[[#This Row],[Age]]&lt;55,"45-54",TRUE,"55+")</f>
        <v>18-24</v>
      </c>
      <c r="L187" t="str">
        <f>"Q"&amp;ROUNDUP(MONTH(Table1[[#This Row],[Date]])/3,0)</f>
        <v>Q3</v>
      </c>
    </row>
    <row r="188" spans="1:12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5">
        <v>50</v>
      </c>
      <c r="I188" s="5">
        <v>100</v>
      </c>
      <c r="J188" s="2" t="str">
        <f>TEXT(Table1[[#This Row],[Date]],"mmm")</f>
        <v>Jun</v>
      </c>
      <c r="K188" t="str" cm="1">
        <f t="array" ref="K188">_xlfn.IFS(Table1[[#This Row],[Age]]&lt;25,"18-24",Table1[[#This Row],[Age]]&lt;35,"25-34",Table1[[#This Row],[Age]]&lt;45,"35-44",Table1[[#This Row],[Age]]&lt;55,"45-54",TRUE,"55+")</f>
        <v>55+</v>
      </c>
      <c r="L188" t="str">
        <f>"Q"&amp;ROUNDUP(MONTH(Table1[[#This Row],[Date]])/3,0)</f>
        <v>Q2</v>
      </c>
    </row>
    <row r="189" spans="1:12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5">
        <v>25</v>
      </c>
      <c r="I189" s="5">
        <v>75</v>
      </c>
      <c r="J189" s="2" t="str">
        <f>TEXT(Table1[[#This Row],[Date]],"mmm")</f>
        <v>May</v>
      </c>
      <c r="K189" t="str" cm="1">
        <f t="array" ref="K189">_xlfn.IFS(Table1[[#This Row],[Age]]&lt;25,"18-24",Table1[[#This Row],[Age]]&lt;35,"25-34",Table1[[#This Row],[Age]]&lt;45,"35-44",Table1[[#This Row],[Age]]&lt;55,"45-54",TRUE,"55+")</f>
        <v>35-44</v>
      </c>
      <c r="L189" t="str">
        <f>"Q"&amp;ROUNDUP(MONTH(Table1[[#This Row],[Date]])/3,0)</f>
        <v>Q2</v>
      </c>
    </row>
    <row r="190" spans="1:12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5">
        <v>50</v>
      </c>
      <c r="I190" s="5">
        <v>50</v>
      </c>
      <c r="J190" s="2" t="str">
        <f>TEXT(Table1[[#This Row],[Date]],"mmm")</f>
        <v>Jan</v>
      </c>
      <c r="K190" t="str" cm="1">
        <f t="array" ref="K190">_xlfn.IFS(Table1[[#This Row],[Age]]&lt;25,"18-24",Table1[[#This Row],[Age]]&lt;35,"25-34",Table1[[#This Row],[Age]]&lt;45,"35-44",Table1[[#This Row],[Age]]&lt;55,"45-54",TRUE,"55+")</f>
        <v>55+</v>
      </c>
      <c r="L190" t="str">
        <f>"Q"&amp;ROUNDUP(MONTH(Table1[[#This Row],[Date]])/3,0)</f>
        <v>Q1</v>
      </c>
    </row>
    <row r="191" spans="1:12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5">
        <v>30</v>
      </c>
      <c r="I191" s="5">
        <v>90</v>
      </c>
      <c r="J191" s="2" t="str">
        <f>TEXT(Table1[[#This Row],[Date]],"mmm")</f>
        <v>May</v>
      </c>
      <c r="K191" t="str" cm="1">
        <f t="array" ref="K191">_xlfn.IFS(Table1[[#This Row],[Age]]&lt;25,"18-24",Table1[[#This Row],[Age]]&lt;35,"25-34",Table1[[#This Row],[Age]]&lt;45,"35-44",Table1[[#This Row],[Age]]&lt;55,"45-54",TRUE,"55+")</f>
        <v>55+</v>
      </c>
      <c r="L191" t="str">
        <f>"Q"&amp;ROUNDUP(MONTH(Table1[[#This Row],[Date]])/3,0)</f>
        <v>Q2</v>
      </c>
    </row>
    <row r="192" spans="1:12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5">
        <v>25</v>
      </c>
      <c r="I192" s="5">
        <v>25</v>
      </c>
      <c r="J192" s="2" t="str">
        <f>TEXT(Table1[[#This Row],[Date]],"mmm")</f>
        <v>Oct</v>
      </c>
      <c r="K192" t="str" cm="1">
        <f t="array" ref="K192">_xlfn.IFS(Table1[[#This Row],[Age]]&lt;25,"18-24",Table1[[#This Row],[Age]]&lt;35,"25-34",Table1[[#This Row],[Age]]&lt;45,"35-44",Table1[[#This Row],[Age]]&lt;55,"45-54",TRUE,"55+")</f>
        <v>55+</v>
      </c>
      <c r="L192" t="str">
        <f>"Q"&amp;ROUNDUP(MONTH(Table1[[#This Row],[Date]])/3,0)</f>
        <v>Q4</v>
      </c>
    </row>
    <row r="193" spans="1:12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5">
        <v>50</v>
      </c>
      <c r="I193" s="5">
        <v>100</v>
      </c>
      <c r="J193" s="2" t="str">
        <f>TEXT(Table1[[#This Row],[Date]],"mmm")</f>
        <v>Feb</v>
      </c>
      <c r="K193" t="str" cm="1">
        <f t="array" ref="K193">_xlfn.IFS(Table1[[#This Row],[Age]]&lt;25,"18-24",Table1[[#This Row],[Age]]&lt;35,"25-34",Table1[[#This Row],[Age]]&lt;45,"35-44",Table1[[#This Row],[Age]]&lt;55,"45-54",TRUE,"55+")</f>
        <v>55+</v>
      </c>
      <c r="L193" t="str">
        <f>"Q"&amp;ROUNDUP(MONTH(Table1[[#This Row],[Date]])/3,0)</f>
        <v>Q1</v>
      </c>
    </row>
    <row r="194" spans="1:12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5">
        <v>500</v>
      </c>
      <c r="I194" s="5">
        <v>1500</v>
      </c>
      <c r="J194" s="2" t="str">
        <f>TEXT(Table1[[#This Row],[Date]],"mmm")</f>
        <v>Feb</v>
      </c>
      <c r="K194" t="str" cm="1">
        <f t="array" ref="K194">_xlfn.IFS(Table1[[#This Row],[Age]]&lt;25,"18-24",Table1[[#This Row],[Age]]&lt;35,"25-34",Table1[[#This Row],[Age]]&lt;45,"35-44",Table1[[#This Row],[Age]]&lt;55,"45-54",TRUE,"55+")</f>
        <v>35-44</v>
      </c>
      <c r="L194" t="str">
        <f>"Q"&amp;ROUNDUP(MONTH(Table1[[#This Row],[Date]])/3,0)</f>
        <v>Q1</v>
      </c>
    </row>
    <row r="195" spans="1:12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5">
        <v>50</v>
      </c>
      <c r="I195" s="5">
        <v>200</v>
      </c>
      <c r="J195" s="2" t="str">
        <f>TEXT(Table1[[#This Row],[Date]],"mmm")</f>
        <v>Sep</v>
      </c>
      <c r="K195" t="str" cm="1">
        <f t="array" ref="K195">_xlfn.IFS(Table1[[#This Row],[Age]]&lt;25,"18-24",Table1[[#This Row],[Age]]&lt;35,"25-34",Table1[[#This Row],[Age]]&lt;45,"35-44",Table1[[#This Row],[Age]]&lt;55,"45-54",TRUE,"55+")</f>
        <v>55+</v>
      </c>
      <c r="L195" t="str">
        <f>"Q"&amp;ROUNDUP(MONTH(Table1[[#This Row],[Date]])/3,0)</f>
        <v>Q3</v>
      </c>
    </row>
    <row r="196" spans="1:12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5">
        <v>30</v>
      </c>
      <c r="I196" s="5">
        <v>30</v>
      </c>
      <c r="J196" s="2" t="str">
        <f>TEXT(Table1[[#This Row],[Date]],"mmm")</f>
        <v>Feb</v>
      </c>
      <c r="K196" t="str" cm="1">
        <f t="array" ref="K196">_xlfn.IFS(Table1[[#This Row],[Age]]&lt;25,"18-24",Table1[[#This Row],[Age]]&lt;35,"25-34",Table1[[#This Row],[Age]]&lt;45,"35-44",Table1[[#This Row],[Age]]&lt;55,"45-54",TRUE,"55+")</f>
        <v>45-54</v>
      </c>
      <c r="L196" t="str">
        <f>"Q"&amp;ROUNDUP(MONTH(Table1[[#This Row],[Date]])/3,0)</f>
        <v>Q1</v>
      </c>
    </row>
    <row r="197" spans="1:12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5">
        <v>300</v>
      </c>
      <c r="I197" s="5">
        <v>900</v>
      </c>
      <c r="J197" s="2" t="str">
        <f>TEXT(Table1[[#This Row],[Date]],"mmm")</f>
        <v>Sep</v>
      </c>
      <c r="K197" t="str" cm="1">
        <f t="array" ref="K197">_xlfn.IFS(Table1[[#This Row],[Age]]&lt;25,"18-24",Table1[[#This Row],[Age]]&lt;35,"25-34",Table1[[#This Row],[Age]]&lt;45,"35-44",Table1[[#This Row],[Age]]&lt;55,"45-54",TRUE,"55+")</f>
        <v>25-34</v>
      </c>
      <c r="L197" t="str">
        <f>"Q"&amp;ROUNDUP(MONTH(Table1[[#This Row],[Date]])/3,0)</f>
        <v>Q3</v>
      </c>
    </row>
    <row r="198" spans="1:12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5">
        <v>50</v>
      </c>
      <c r="I198" s="5">
        <v>200</v>
      </c>
      <c r="J198" s="2" t="str">
        <f>TEXT(Table1[[#This Row],[Date]],"mmm")</f>
        <v>Mar</v>
      </c>
      <c r="K198" t="str" cm="1">
        <f t="array" ref="K198">_xlfn.IFS(Table1[[#This Row],[Age]]&lt;25,"18-24",Table1[[#This Row],[Age]]&lt;35,"25-34",Table1[[#This Row],[Age]]&lt;45,"35-44",Table1[[#This Row],[Age]]&lt;55,"45-54",TRUE,"55+")</f>
        <v>35-44</v>
      </c>
      <c r="L198" t="str">
        <f>"Q"&amp;ROUNDUP(MONTH(Table1[[#This Row],[Date]])/3,0)</f>
        <v>Q1</v>
      </c>
    </row>
    <row r="199" spans="1:12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5">
        <v>300</v>
      </c>
      <c r="I199" s="5">
        <v>900</v>
      </c>
      <c r="J199" s="2" t="str">
        <f>TEXT(Table1[[#This Row],[Date]],"mmm")</f>
        <v>Mar</v>
      </c>
      <c r="K199" t="str" cm="1">
        <f t="array" ref="K199">_xlfn.IFS(Table1[[#This Row],[Age]]&lt;25,"18-24",Table1[[#This Row],[Age]]&lt;35,"25-34",Table1[[#This Row],[Age]]&lt;45,"35-44",Table1[[#This Row],[Age]]&lt;55,"45-54",TRUE,"55+")</f>
        <v>45-54</v>
      </c>
      <c r="L199" t="str">
        <f>"Q"&amp;ROUNDUP(MONTH(Table1[[#This Row],[Date]])/3,0)</f>
        <v>Q1</v>
      </c>
    </row>
    <row r="200" spans="1:12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5">
        <v>500</v>
      </c>
      <c r="I200" s="5">
        <v>1500</v>
      </c>
      <c r="J200" s="2" t="str">
        <f>TEXT(Table1[[#This Row],[Date]],"mmm")</f>
        <v>Dec</v>
      </c>
      <c r="K200" t="str" cm="1">
        <f t="array" ref="K200">_xlfn.IFS(Table1[[#This Row],[Age]]&lt;25,"18-24",Table1[[#This Row],[Age]]&lt;35,"25-34",Table1[[#This Row],[Age]]&lt;45,"35-44",Table1[[#This Row],[Age]]&lt;55,"45-54",TRUE,"55+")</f>
        <v>45-54</v>
      </c>
      <c r="L200" t="str">
        <f>"Q"&amp;ROUNDUP(MONTH(Table1[[#This Row],[Date]])/3,0)</f>
        <v>Q4</v>
      </c>
    </row>
    <row r="201" spans="1:12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5">
        <v>50</v>
      </c>
      <c r="I201" s="5">
        <v>150</v>
      </c>
      <c r="J201" s="2" t="str">
        <f>TEXT(Table1[[#This Row],[Date]],"mmm")</f>
        <v>Sep</v>
      </c>
      <c r="K201" t="str" cm="1">
        <f t="array" ref="K201">_xlfn.IFS(Table1[[#This Row],[Age]]&lt;25,"18-24",Table1[[#This Row],[Age]]&lt;35,"25-34",Table1[[#This Row],[Age]]&lt;45,"35-44",Table1[[#This Row],[Age]]&lt;55,"45-54",TRUE,"55+")</f>
        <v>25-34</v>
      </c>
      <c r="L201" t="str">
        <f>"Q"&amp;ROUNDUP(MONTH(Table1[[#This Row],[Date]])/3,0)</f>
        <v>Q3</v>
      </c>
    </row>
    <row r="202" spans="1:12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5">
        <v>25</v>
      </c>
      <c r="I202" s="5">
        <v>25</v>
      </c>
      <c r="J202" s="2" t="str">
        <f>TEXT(Table1[[#This Row],[Date]],"mmm")</f>
        <v>Oct</v>
      </c>
      <c r="K202" t="str" cm="1">
        <f t="array" ref="K202">_xlfn.IFS(Table1[[#This Row],[Age]]&lt;25,"18-24",Table1[[#This Row],[Age]]&lt;35,"25-34",Table1[[#This Row],[Age]]&lt;45,"35-44",Table1[[#This Row],[Age]]&lt;55,"45-54",TRUE,"55+")</f>
        <v>55+</v>
      </c>
      <c r="L202" t="str">
        <f>"Q"&amp;ROUNDUP(MONTH(Table1[[#This Row],[Date]])/3,0)</f>
        <v>Q4</v>
      </c>
    </row>
    <row r="203" spans="1:12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5">
        <v>300</v>
      </c>
      <c r="I203" s="5">
        <v>1200</v>
      </c>
      <c r="J203" s="2" t="str">
        <f>TEXT(Table1[[#This Row],[Date]],"mmm")</f>
        <v>Mar</v>
      </c>
      <c r="K203" t="str" cm="1">
        <f t="array" ref="K203">_xlfn.IFS(Table1[[#This Row],[Age]]&lt;25,"18-24",Table1[[#This Row],[Age]]&lt;35,"25-34",Table1[[#This Row],[Age]]&lt;45,"35-44",Table1[[#This Row],[Age]]&lt;55,"45-54",TRUE,"55+")</f>
        <v>25-34</v>
      </c>
      <c r="L203" t="str">
        <f>"Q"&amp;ROUNDUP(MONTH(Table1[[#This Row],[Date]])/3,0)</f>
        <v>Q1</v>
      </c>
    </row>
    <row r="204" spans="1:12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5">
        <v>500</v>
      </c>
      <c r="I204" s="5">
        <v>1000</v>
      </c>
      <c r="J204" s="2" t="str">
        <f>TEXT(Table1[[#This Row],[Date]],"mmm")</f>
        <v>May</v>
      </c>
      <c r="K204" t="str" cm="1">
        <f t="array" ref="K204">_xlfn.IFS(Table1[[#This Row],[Age]]&lt;25,"18-24",Table1[[#This Row],[Age]]&lt;35,"25-34",Table1[[#This Row],[Age]]&lt;45,"35-44",Table1[[#This Row],[Age]]&lt;55,"45-54",TRUE,"55+")</f>
        <v>55+</v>
      </c>
      <c r="L204" t="str">
        <f>"Q"&amp;ROUNDUP(MONTH(Table1[[#This Row],[Date]])/3,0)</f>
        <v>Q2</v>
      </c>
    </row>
    <row r="205" spans="1:12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5">
        <v>25</v>
      </c>
      <c r="I205" s="5">
        <v>25</v>
      </c>
      <c r="J205" s="2" t="str">
        <f>TEXT(Table1[[#This Row],[Date]],"mmm")</f>
        <v>Sep</v>
      </c>
      <c r="K205" t="str" cm="1">
        <f t="array" ref="K205">_xlfn.IFS(Table1[[#This Row],[Age]]&lt;25,"18-24",Table1[[#This Row],[Age]]&lt;35,"25-34",Table1[[#This Row],[Age]]&lt;45,"35-44",Table1[[#This Row],[Age]]&lt;55,"45-54",TRUE,"55+")</f>
        <v>35-44</v>
      </c>
      <c r="L205" t="str">
        <f>"Q"&amp;ROUNDUP(MONTH(Table1[[#This Row],[Date]])/3,0)</f>
        <v>Q3</v>
      </c>
    </row>
    <row r="206" spans="1:12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5">
        <v>25</v>
      </c>
      <c r="I206" s="5">
        <v>25</v>
      </c>
      <c r="J206" s="2" t="str">
        <f>TEXT(Table1[[#This Row],[Date]],"mmm")</f>
        <v>Nov</v>
      </c>
      <c r="K206" t="str" cm="1">
        <f t="array" ref="K206">_xlfn.IFS(Table1[[#This Row],[Age]]&lt;25,"18-24",Table1[[#This Row],[Age]]&lt;35,"25-34",Table1[[#This Row],[Age]]&lt;45,"35-44",Table1[[#This Row],[Age]]&lt;55,"45-54",TRUE,"55+")</f>
        <v>35-44</v>
      </c>
      <c r="L206" t="str">
        <f>"Q"&amp;ROUNDUP(MONTH(Table1[[#This Row],[Date]])/3,0)</f>
        <v>Q4</v>
      </c>
    </row>
    <row r="207" spans="1:12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5">
        <v>25</v>
      </c>
      <c r="I207" s="5">
        <v>25</v>
      </c>
      <c r="J207" s="2" t="str">
        <f>TEXT(Table1[[#This Row],[Date]],"mmm")</f>
        <v>Aug</v>
      </c>
      <c r="K207" t="str" cm="1">
        <f t="array" ref="K207">_xlfn.IFS(Table1[[#This Row],[Age]]&lt;25,"18-24",Table1[[#This Row],[Age]]&lt;35,"25-34",Table1[[#This Row],[Age]]&lt;45,"35-44",Table1[[#This Row],[Age]]&lt;55,"45-54",TRUE,"55+")</f>
        <v>55+</v>
      </c>
      <c r="L207" t="str">
        <f>"Q"&amp;ROUNDUP(MONTH(Table1[[#This Row],[Date]])/3,0)</f>
        <v>Q3</v>
      </c>
    </row>
    <row r="208" spans="1:12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5">
        <v>25</v>
      </c>
      <c r="I208" s="5">
        <v>50</v>
      </c>
      <c r="J208" s="2" t="str">
        <f>TEXT(Table1[[#This Row],[Date]],"mmm")</f>
        <v>Apr</v>
      </c>
      <c r="K208" t="str" cm="1">
        <f t="array" ref="K208">_xlfn.IFS(Table1[[#This Row],[Age]]&lt;25,"18-24",Table1[[#This Row],[Age]]&lt;35,"25-34",Table1[[#This Row],[Age]]&lt;45,"35-44",Table1[[#This Row],[Age]]&lt;55,"45-54",TRUE,"55+")</f>
        <v>35-44</v>
      </c>
      <c r="L208" t="str">
        <f>"Q"&amp;ROUNDUP(MONTH(Table1[[#This Row],[Date]])/3,0)</f>
        <v>Q2</v>
      </c>
    </row>
    <row r="209" spans="1:12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5">
        <v>50</v>
      </c>
      <c r="I209" s="5">
        <v>200</v>
      </c>
      <c r="J209" s="2" t="str">
        <f>TEXT(Table1[[#This Row],[Date]],"mmm")</f>
        <v>Oct</v>
      </c>
      <c r="K209" t="str" cm="1">
        <f t="array" ref="K209">_xlfn.IFS(Table1[[#This Row],[Age]]&lt;25,"18-24",Table1[[#This Row],[Age]]&lt;35,"25-34",Table1[[#This Row],[Age]]&lt;45,"35-44",Table1[[#This Row],[Age]]&lt;55,"45-54",TRUE,"55+")</f>
        <v>25-34</v>
      </c>
      <c r="L209" t="str">
        <f>"Q"&amp;ROUNDUP(MONTH(Table1[[#This Row],[Date]])/3,0)</f>
        <v>Q4</v>
      </c>
    </row>
    <row r="210" spans="1:12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5">
        <v>50</v>
      </c>
      <c r="I210" s="5">
        <v>200</v>
      </c>
      <c r="J210" s="2" t="str">
        <f>TEXT(Table1[[#This Row],[Date]],"mmm")</f>
        <v>Dec</v>
      </c>
      <c r="K210" t="str" cm="1">
        <f t="array" ref="K210">_xlfn.IFS(Table1[[#This Row],[Age]]&lt;25,"18-24",Table1[[#This Row],[Age]]&lt;35,"25-34",Table1[[#This Row],[Age]]&lt;45,"35-44",Table1[[#This Row],[Age]]&lt;55,"45-54",TRUE,"55+")</f>
        <v>25-34</v>
      </c>
      <c r="L210" t="str">
        <f>"Q"&amp;ROUNDUP(MONTH(Table1[[#This Row],[Date]])/3,0)</f>
        <v>Q4</v>
      </c>
    </row>
    <row r="211" spans="1:12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5">
        <v>50</v>
      </c>
      <c r="I211" s="5">
        <v>200</v>
      </c>
      <c r="J211" s="2" t="str">
        <f>TEXT(Table1[[#This Row],[Date]],"mmm")</f>
        <v>Apr</v>
      </c>
      <c r="K211" t="str" cm="1">
        <f t="array" ref="K211">_xlfn.IFS(Table1[[#This Row],[Age]]&lt;25,"18-24",Table1[[#This Row],[Age]]&lt;35,"25-34",Table1[[#This Row],[Age]]&lt;45,"35-44",Table1[[#This Row],[Age]]&lt;55,"45-54",TRUE,"55+")</f>
        <v>35-44</v>
      </c>
      <c r="L211" t="str">
        <f>"Q"&amp;ROUNDUP(MONTH(Table1[[#This Row],[Date]])/3,0)</f>
        <v>Q2</v>
      </c>
    </row>
    <row r="212" spans="1:12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5">
        <v>500</v>
      </c>
      <c r="I212" s="5">
        <v>1500</v>
      </c>
      <c r="J212" s="2" t="str">
        <f>TEXT(Table1[[#This Row],[Date]],"mmm")</f>
        <v>Jan</v>
      </c>
      <c r="K212" t="str" cm="1">
        <f t="array" ref="K212">_xlfn.IFS(Table1[[#This Row],[Age]]&lt;25,"18-24",Table1[[#This Row],[Age]]&lt;35,"25-34",Table1[[#This Row],[Age]]&lt;45,"35-44",Table1[[#This Row],[Age]]&lt;55,"45-54",TRUE,"55+")</f>
        <v>35-44</v>
      </c>
      <c r="L212" t="str">
        <f>"Q"&amp;ROUNDUP(MONTH(Table1[[#This Row],[Date]])/3,0)</f>
        <v>Q1</v>
      </c>
    </row>
    <row r="213" spans="1:12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5">
        <v>500</v>
      </c>
      <c r="I213" s="5">
        <v>1500</v>
      </c>
      <c r="J213" s="2" t="str">
        <f>TEXT(Table1[[#This Row],[Date]],"mmm")</f>
        <v>Jun</v>
      </c>
      <c r="K213" t="str" cm="1">
        <f t="array" ref="K213">_xlfn.IFS(Table1[[#This Row],[Age]]&lt;25,"18-24",Table1[[#This Row],[Age]]&lt;35,"25-34",Table1[[#This Row],[Age]]&lt;45,"35-44",Table1[[#This Row],[Age]]&lt;55,"45-54",TRUE,"55+")</f>
        <v>18-24</v>
      </c>
      <c r="L213" t="str">
        <f>"Q"&amp;ROUNDUP(MONTH(Table1[[#This Row],[Date]])/3,0)</f>
        <v>Q2</v>
      </c>
    </row>
    <row r="214" spans="1:12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5">
        <v>500</v>
      </c>
      <c r="I214" s="5">
        <v>1500</v>
      </c>
      <c r="J214" s="2" t="str">
        <f>TEXT(Table1[[#This Row],[Date]],"mmm")</f>
        <v>Jul</v>
      </c>
      <c r="K214" t="str" cm="1">
        <f t="array" ref="K214">_xlfn.IFS(Table1[[#This Row],[Age]]&lt;25,"18-24",Table1[[#This Row],[Age]]&lt;35,"25-34",Table1[[#This Row],[Age]]&lt;45,"35-44",Table1[[#This Row],[Age]]&lt;55,"45-54",TRUE,"55+")</f>
        <v>25-34</v>
      </c>
      <c r="L214" t="str">
        <f>"Q"&amp;ROUNDUP(MONTH(Table1[[#This Row],[Date]])/3,0)</f>
        <v>Q3</v>
      </c>
    </row>
    <row r="215" spans="1:12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5">
        <v>30</v>
      </c>
      <c r="I215" s="5">
        <v>60</v>
      </c>
      <c r="J215" s="2" t="str">
        <f>TEXT(Table1[[#This Row],[Date]],"mmm")</f>
        <v>Dec</v>
      </c>
      <c r="K215" t="str" cm="1">
        <f t="array" ref="K215">_xlfn.IFS(Table1[[#This Row],[Age]]&lt;25,"18-24",Table1[[#This Row],[Age]]&lt;35,"25-34",Table1[[#This Row],[Age]]&lt;45,"35-44",Table1[[#This Row],[Age]]&lt;55,"45-54",TRUE,"55+")</f>
        <v>18-24</v>
      </c>
      <c r="L215" t="str">
        <f>"Q"&amp;ROUNDUP(MONTH(Table1[[#This Row],[Date]])/3,0)</f>
        <v>Q4</v>
      </c>
    </row>
    <row r="216" spans="1:12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5">
        <v>500</v>
      </c>
      <c r="I216" s="5">
        <v>1500</v>
      </c>
      <c r="J216" s="2" t="str">
        <f>TEXT(Table1[[#This Row],[Date]],"mmm")</f>
        <v>Nov</v>
      </c>
      <c r="K216" t="str" cm="1">
        <f t="array" ref="K216">_xlfn.IFS(Table1[[#This Row],[Age]]&lt;25,"18-24",Table1[[#This Row],[Age]]&lt;35,"25-34",Table1[[#This Row],[Age]]&lt;45,"35-44",Table1[[#This Row],[Age]]&lt;55,"45-54",TRUE,"55+")</f>
        <v>55+</v>
      </c>
      <c r="L216" t="str">
        <f>"Q"&amp;ROUNDUP(MONTH(Table1[[#This Row],[Date]])/3,0)</f>
        <v>Q4</v>
      </c>
    </row>
    <row r="217" spans="1:12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5">
        <v>50</v>
      </c>
      <c r="I217" s="5">
        <v>100</v>
      </c>
      <c r="J217" s="2" t="str">
        <f>TEXT(Table1[[#This Row],[Date]],"mmm")</f>
        <v>Jul</v>
      </c>
      <c r="K217" t="str" cm="1">
        <f t="array" ref="K217">_xlfn.IFS(Table1[[#This Row],[Age]]&lt;25,"18-24",Table1[[#This Row],[Age]]&lt;35,"25-34",Table1[[#This Row],[Age]]&lt;45,"35-44",Table1[[#This Row],[Age]]&lt;55,"45-54",TRUE,"55+")</f>
        <v>55+</v>
      </c>
      <c r="L217" t="str">
        <f>"Q"&amp;ROUNDUP(MONTH(Table1[[#This Row],[Date]])/3,0)</f>
        <v>Q3</v>
      </c>
    </row>
    <row r="218" spans="1:12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5">
        <v>50</v>
      </c>
      <c r="I218" s="5">
        <v>200</v>
      </c>
      <c r="J218" s="2" t="str">
        <f>TEXT(Table1[[#This Row],[Date]],"mmm")</f>
        <v>Aug</v>
      </c>
      <c r="K218" t="str" cm="1">
        <f t="array" ref="K218">_xlfn.IFS(Table1[[#This Row],[Age]]&lt;25,"18-24",Table1[[#This Row],[Age]]&lt;35,"25-34",Table1[[#This Row],[Age]]&lt;45,"35-44",Table1[[#This Row],[Age]]&lt;55,"45-54",TRUE,"55+")</f>
        <v>35-44</v>
      </c>
      <c r="L218" t="str">
        <f>"Q"&amp;ROUNDUP(MONTH(Table1[[#This Row],[Date]])/3,0)</f>
        <v>Q3</v>
      </c>
    </row>
    <row r="219" spans="1:12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5">
        <v>30</v>
      </c>
      <c r="I219" s="5">
        <v>90</v>
      </c>
      <c r="J219" s="2" t="str">
        <f>TEXT(Table1[[#This Row],[Date]],"mmm")</f>
        <v>Sep</v>
      </c>
      <c r="K219" t="str" cm="1">
        <f t="array" ref="K219">_xlfn.IFS(Table1[[#This Row],[Age]]&lt;25,"18-24",Table1[[#This Row],[Age]]&lt;35,"25-34",Table1[[#This Row],[Age]]&lt;45,"35-44",Table1[[#This Row],[Age]]&lt;55,"45-54",TRUE,"55+")</f>
        <v>55+</v>
      </c>
      <c r="L219" t="str">
        <f>"Q"&amp;ROUNDUP(MONTH(Table1[[#This Row],[Date]])/3,0)</f>
        <v>Q3</v>
      </c>
    </row>
    <row r="220" spans="1:12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5">
        <v>30</v>
      </c>
      <c r="I220" s="5">
        <v>90</v>
      </c>
      <c r="J220" s="2" t="str">
        <f>TEXT(Table1[[#This Row],[Date]],"mmm")</f>
        <v>Aug</v>
      </c>
      <c r="K220" t="str" cm="1">
        <f t="array" ref="K220">_xlfn.IFS(Table1[[#This Row],[Age]]&lt;25,"18-24",Table1[[#This Row],[Age]]&lt;35,"25-34",Table1[[#This Row],[Age]]&lt;45,"35-44",Table1[[#This Row],[Age]]&lt;55,"45-54",TRUE,"55+")</f>
        <v>45-54</v>
      </c>
      <c r="L220" t="str">
        <f>"Q"&amp;ROUNDUP(MONTH(Table1[[#This Row],[Date]])/3,0)</f>
        <v>Q3</v>
      </c>
    </row>
    <row r="221" spans="1:12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5">
        <v>500</v>
      </c>
      <c r="I221" s="5">
        <v>500</v>
      </c>
      <c r="J221" s="2" t="str">
        <f>TEXT(Table1[[#This Row],[Date]],"mmm")</f>
        <v>Mar</v>
      </c>
      <c r="K221" t="str" cm="1">
        <f t="array" ref="K221">_xlfn.IFS(Table1[[#This Row],[Age]]&lt;25,"18-24",Table1[[#This Row],[Age]]&lt;35,"25-34",Table1[[#This Row],[Age]]&lt;45,"35-44",Table1[[#This Row],[Age]]&lt;55,"45-54",TRUE,"55+")</f>
        <v>55+</v>
      </c>
      <c r="L221" t="str">
        <f>"Q"&amp;ROUNDUP(MONTH(Table1[[#This Row],[Date]])/3,0)</f>
        <v>Q1</v>
      </c>
    </row>
    <row r="222" spans="1:12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5">
        <v>300</v>
      </c>
      <c r="I222" s="5">
        <v>600</v>
      </c>
      <c r="J222" s="2" t="str">
        <f>TEXT(Table1[[#This Row],[Date]],"mmm")</f>
        <v>May</v>
      </c>
      <c r="K222" t="str" cm="1">
        <f t="array" ref="K222">_xlfn.IFS(Table1[[#This Row],[Age]]&lt;25,"18-24",Table1[[#This Row],[Age]]&lt;35,"25-34",Table1[[#This Row],[Age]]&lt;45,"35-44",Table1[[#This Row],[Age]]&lt;55,"45-54",TRUE,"55+")</f>
        <v>35-44</v>
      </c>
      <c r="L222" t="str">
        <f>"Q"&amp;ROUNDUP(MONTH(Table1[[#This Row],[Date]])/3,0)</f>
        <v>Q2</v>
      </c>
    </row>
    <row r="223" spans="1:12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5">
        <v>30</v>
      </c>
      <c r="I223" s="5">
        <v>120</v>
      </c>
      <c r="J223" s="2" t="str">
        <f>TEXT(Table1[[#This Row],[Date]],"mmm")</f>
        <v>Apr</v>
      </c>
      <c r="K223" t="str" cm="1">
        <f t="array" ref="K223">_xlfn.IFS(Table1[[#This Row],[Age]]&lt;25,"18-24",Table1[[#This Row],[Age]]&lt;35,"25-34",Table1[[#This Row],[Age]]&lt;45,"35-44",Table1[[#This Row],[Age]]&lt;55,"45-54",TRUE,"55+")</f>
        <v>45-54</v>
      </c>
      <c r="L223" t="str">
        <f>"Q"&amp;ROUNDUP(MONTH(Table1[[#This Row],[Date]])/3,0)</f>
        <v>Q2</v>
      </c>
    </row>
    <row r="224" spans="1:12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5">
        <v>25</v>
      </c>
      <c r="I224" s="5">
        <v>25</v>
      </c>
      <c r="J224" s="2" t="str">
        <f>TEXT(Table1[[#This Row],[Date]],"mmm")</f>
        <v>Feb</v>
      </c>
      <c r="K224" t="str" cm="1">
        <f t="array" ref="K224">_xlfn.IFS(Table1[[#This Row],[Age]]&lt;25,"18-24",Table1[[#This Row],[Age]]&lt;35,"25-34",Table1[[#This Row],[Age]]&lt;45,"35-44",Table1[[#This Row],[Age]]&lt;55,"45-54",TRUE,"55+")</f>
        <v>55+</v>
      </c>
      <c r="L224" t="str">
        <f>"Q"&amp;ROUNDUP(MONTH(Table1[[#This Row],[Date]])/3,0)</f>
        <v>Q1</v>
      </c>
    </row>
    <row r="225" spans="1:12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5">
        <v>50</v>
      </c>
      <c r="I225" s="5">
        <v>50</v>
      </c>
      <c r="J225" s="2" t="str">
        <f>TEXT(Table1[[#This Row],[Date]],"mmm")</f>
        <v>Jun</v>
      </c>
      <c r="K225" t="str" cm="1">
        <f t="array" ref="K225">_xlfn.IFS(Table1[[#This Row],[Age]]&lt;25,"18-24",Table1[[#This Row],[Age]]&lt;35,"25-34",Table1[[#This Row],[Age]]&lt;45,"35-44",Table1[[#This Row],[Age]]&lt;55,"45-54",TRUE,"55+")</f>
        <v>25-34</v>
      </c>
      <c r="L225" t="str">
        <f>"Q"&amp;ROUNDUP(MONTH(Table1[[#This Row],[Date]])/3,0)</f>
        <v>Q2</v>
      </c>
    </row>
    <row r="226" spans="1:12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5">
        <v>25</v>
      </c>
      <c r="I226" s="5">
        <v>100</v>
      </c>
      <c r="J226" s="2" t="str">
        <f>TEXT(Table1[[#This Row],[Date]],"mmm")</f>
        <v>Jan</v>
      </c>
      <c r="K226" t="str" cm="1">
        <f t="array" ref="K226">_xlfn.IFS(Table1[[#This Row],[Age]]&lt;25,"18-24",Table1[[#This Row],[Age]]&lt;35,"25-34",Table1[[#This Row],[Age]]&lt;45,"35-44",Table1[[#This Row],[Age]]&lt;55,"45-54",TRUE,"55+")</f>
        <v>55+</v>
      </c>
      <c r="L226" t="str">
        <f>"Q"&amp;ROUNDUP(MONTH(Table1[[#This Row],[Date]])/3,0)</f>
        <v>Q1</v>
      </c>
    </row>
    <row r="227" spans="1:12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5">
        <v>50</v>
      </c>
      <c r="I227" s="5">
        <v>50</v>
      </c>
      <c r="J227" s="2" t="str">
        <f>TEXT(Table1[[#This Row],[Date]],"mmm")</f>
        <v>Oct</v>
      </c>
      <c r="K227" t="str" cm="1">
        <f t="array" ref="K227">_xlfn.IFS(Table1[[#This Row],[Age]]&lt;25,"18-24",Table1[[#This Row],[Age]]&lt;35,"25-34",Table1[[#This Row],[Age]]&lt;45,"35-44",Table1[[#This Row],[Age]]&lt;55,"45-54",TRUE,"55+")</f>
        <v>55+</v>
      </c>
      <c r="L227" t="str">
        <f>"Q"&amp;ROUNDUP(MONTH(Table1[[#This Row],[Date]])/3,0)</f>
        <v>Q4</v>
      </c>
    </row>
    <row r="228" spans="1:12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5">
        <v>50</v>
      </c>
      <c r="I228" s="5">
        <v>100</v>
      </c>
      <c r="J228" s="2" t="str">
        <f>TEXT(Table1[[#This Row],[Date]],"mmm")</f>
        <v>Oct</v>
      </c>
      <c r="K228" t="str" cm="1">
        <f t="array" ref="K228">_xlfn.IFS(Table1[[#This Row],[Age]]&lt;25,"18-24",Table1[[#This Row],[Age]]&lt;35,"25-34",Table1[[#This Row],[Age]]&lt;45,"35-44",Table1[[#This Row],[Age]]&lt;55,"45-54",TRUE,"55+")</f>
        <v>35-44</v>
      </c>
      <c r="L228" t="str">
        <f>"Q"&amp;ROUNDUP(MONTH(Table1[[#This Row],[Date]])/3,0)</f>
        <v>Q4</v>
      </c>
    </row>
    <row r="229" spans="1:12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5">
        <v>30</v>
      </c>
      <c r="I229" s="5">
        <v>60</v>
      </c>
      <c r="J229" s="2" t="str">
        <f>TEXT(Table1[[#This Row],[Date]],"mmm")</f>
        <v>Apr</v>
      </c>
      <c r="K229" t="str" cm="1">
        <f t="array" ref="K229">_xlfn.IFS(Table1[[#This Row],[Age]]&lt;25,"18-24",Table1[[#This Row],[Age]]&lt;35,"25-34",Table1[[#This Row],[Age]]&lt;45,"35-44",Table1[[#This Row],[Age]]&lt;55,"45-54",TRUE,"55+")</f>
        <v>55+</v>
      </c>
      <c r="L229" t="str">
        <f>"Q"&amp;ROUNDUP(MONTH(Table1[[#This Row],[Date]])/3,0)</f>
        <v>Q2</v>
      </c>
    </row>
    <row r="230" spans="1:12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5">
        <v>30</v>
      </c>
      <c r="I230" s="5">
        <v>90</v>
      </c>
      <c r="J230" s="2" t="str">
        <f>TEXT(Table1[[#This Row],[Date]],"mmm")</f>
        <v>Oct</v>
      </c>
      <c r="K230" t="str" cm="1">
        <f t="array" ref="K230">_xlfn.IFS(Table1[[#This Row],[Age]]&lt;25,"18-24",Table1[[#This Row],[Age]]&lt;35,"25-34",Table1[[#This Row],[Age]]&lt;45,"35-44",Table1[[#This Row],[Age]]&lt;55,"45-54",TRUE,"55+")</f>
        <v>55+</v>
      </c>
      <c r="L230" t="str">
        <f>"Q"&amp;ROUNDUP(MONTH(Table1[[#This Row],[Date]])/3,0)</f>
        <v>Q4</v>
      </c>
    </row>
    <row r="231" spans="1:12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5">
        <v>25</v>
      </c>
      <c r="I231" s="5">
        <v>25</v>
      </c>
      <c r="J231" s="2" t="str">
        <f>TEXT(Table1[[#This Row],[Date]],"mmm")</f>
        <v>Apr</v>
      </c>
      <c r="K231" t="str" cm="1">
        <f t="array" ref="K231">_xlfn.IFS(Table1[[#This Row],[Age]]&lt;25,"18-24",Table1[[#This Row],[Age]]&lt;35,"25-34",Table1[[#This Row],[Age]]&lt;45,"35-44",Table1[[#This Row],[Age]]&lt;55,"45-54",TRUE,"55+")</f>
        <v>45-54</v>
      </c>
      <c r="L231" t="str">
        <f>"Q"&amp;ROUNDUP(MONTH(Table1[[#This Row],[Date]])/3,0)</f>
        <v>Q2</v>
      </c>
    </row>
    <row r="232" spans="1:12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5">
        <v>50</v>
      </c>
      <c r="I232" s="5">
        <v>150</v>
      </c>
      <c r="J232" s="2" t="str">
        <f>TEXT(Table1[[#This Row],[Date]],"mmm")</f>
        <v>Jan</v>
      </c>
      <c r="K232" t="str" cm="1">
        <f t="array" ref="K232">_xlfn.IFS(Table1[[#This Row],[Age]]&lt;25,"18-24",Table1[[#This Row],[Age]]&lt;35,"25-34",Table1[[#This Row],[Age]]&lt;45,"35-44",Table1[[#This Row],[Age]]&lt;55,"45-54",TRUE,"55+")</f>
        <v>18-24</v>
      </c>
      <c r="L232" t="str">
        <f>"Q"&amp;ROUNDUP(MONTH(Table1[[#This Row],[Date]])/3,0)</f>
        <v>Q1</v>
      </c>
    </row>
    <row r="233" spans="1:12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5">
        <v>25</v>
      </c>
      <c r="I233" s="5">
        <v>25</v>
      </c>
      <c r="J233" s="2" t="str">
        <f>TEXT(Table1[[#This Row],[Date]],"mmm")</f>
        <v>Feb</v>
      </c>
      <c r="K233" t="str" cm="1">
        <f t="array" ref="K233">_xlfn.IFS(Table1[[#This Row],[Age]]&lt;25,"18-24",Table1[[#This Row],[Age]]&lt;35,"25-34",Table1[[#This Row],[Age]]&lt;45,"35-44",Table1[[#This Row],[Age]]&lt;55,"45-54",TRUE,"55+")</f>
        <v>35-44</v>
      </c>
      <c r="L233" t="str">
        <f>"Q"&amp;ROUNDUP(MONTH(Table1[[#This Row],[Date]])/3,0)</f>
        <v>Q1</v>
      </c>
    </row>
    <row r="234" spans="1:12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5">
        <v>300</v>
      </c>
      <c r="I234" s="5">
        <v>600</v>
      </c>
      <c r="J234" s="2" t="str">
        <f>TEXT(Table1[[#This Row],[Date]],"mmm")</f>
        <v>Dec</v>
      </c>
      <c r="K234" t="str" cm="1">
        <f t="array" ref="K234">_xlfn.IFS(Table1[[#This Row],[Age]]&lt;25,"18-24",Table1[[#This Row],[Age]]&lt;35,"25-34",Table1[[#This Row],[Age]]&lt;45,"35-44",Table1[[#This Row],[Age]]&lt;55,"45-54",TRUE,"55+")</f>
        <v>45-54</v>
      </c>
      <c r="L234" t="str">
        <f>"Q"&amp;ROUNDUP(MONTH(Table1[[#This Row],[Date]])/3,0)</f>
        <v>Q4</v>
      </c>
    </row>
    <row r="235" spans="1:12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5">
        <v>25</v>
      </c>
      <c r="I235" s="5">
        <v>50</v>
      </c>
      <c r="J235" s="2" t="str">
        <f>TEXT(Table1[[#This Row],[Date]],"mmm")</f>
        <v>Nov</v>
      </c>
      <c r="K235" t="str" cm="1">
        <f t="array" ref="K235">_xlfn.IFS(Table1[[#This Row],[Age]]&lt;25,"18-24",Table1[[#This Row],[Age]]&lt;35,"25-34",Table1[[#This Row],[Age]]&lt;45,"35-44",Table1[[#This Row],[Age]]&lt;55,"45-54",TRUE,"55+")</f>
        <v>55+</v>
      </c>
      <c r="L235" t="str">
        <f>"Q"&amp;ROUNDUP(MONTH(Table1[[#This Row],[Date]])/3,0)</f>
        <v>Q4</v>
      </c>
    </row>
    <row r="236" spans="1:12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5">
        <v>500</v>
      </c>
      <c r="I236" s="5">
        <v>1000</v>
      </c>
      <c r="J236" s="2" t="str">
        <f>TEXT(Table1[[#This Row],[Date]],"mmm")</f>
        <v>Jan</v>
      </c>
      <c r="K236" t="str" cm="1">
        <f t="array" ref="K236">_xlfn.IFS(Table1[[#This Row],[Age]]&lt;25,"18-24",Table1[[#This Row],[Age]]&lt;35,"25-34",Table1[[#This Row],[Age]]&lt;45,"35-44",Table1[[#This Row],[Age]]&lt;55,"45-54",TRUE,"55+")</f>
        <v>18-24</v>
      </c>
      <c r="L236" t="str">
        <f>"Q"&amp;ROUNDUP(MONTH(Table1[[#This Row],[Date]])/3,0)</f>
        <v>Q1</v>
      </c>
    </row>
    <row r="237" spans="1:12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5">
        <v>25</v>
      </c>
      <c r="I237" s="5">
        <v>25</v>
      </c>
      <c r="J237" s="2" t="str">
        <f>TEXT(Table1[[#This Row],[Date]],"mmm")</f>
        <v>Apr</v>
      </c>
      <c r="K237" t="str" cm="1">
        <f t="array" ref="K237">_xlfn.IFS(Table1[[#This Row],[Age]]&lt;25,"18-24",Table1[[#This Row],[Age]]&lt;35,"25-34",Table1[[#This Row],[Age]]&lt;45,"35-44",Table1[[#This Row],[Age]]&lt;55,"45-54",TRUE,"55+")</f>
        <v>45-54</v>
      </c>
      <c r="L237" t="str">
        <f>"Q"&amp;ROUNDUP(MONTH(Table1[[#This Row],[Date]])/3,0)</f>
        <v>Q2</v>
      </c>
    </row>
    <row r="238" spans="1:12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5">
        <v>500</v>
      </c>
      <c r="I238" s="5">
        <v>1000</v>
      </c>
      <c r="J238" s="2" t="str">
        <f>TEXT(Table1[[#This Row],[Date]],"mmm")</f>
        <v>Feb</v>
      </c>
      <c r="K238" t="str" cm="1">
        <f t="array" ref="K238">_xlfn.IFS(Table1[[#This Row],[Age]]&lt;25,"18-24",Table1[[#This Row],[Age]]&lt;35,"25-34",Table1[[#This Row],[Age]]&lt;45,"35-44",Table1[[#This Row],[Age]]&lt;55,"45-54",TRUE,"55+")</f>
        <v>45-54</v>
      </c>
      <c r="L238" t="str">
        <f>"Q"&amp;ROUNDUP(MONTH(Table1[[#This Row],[Date]])/3,0)</f>
        <v>Q1</v>
      </c>
    </row>
    <row r="239" spans="1:12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5">
        <v>500</v>
      </c>
      <c r="I239" s="5">
        <v>500</v>
      </c>
      <c r="J239" s="2" t="str">
        <f>TEXT(Table1[[#This Row],[Date]],"mmm")</f>
        <v>Jan</v>
      </c>
      <c r="K239" t="str" cm="1">
        <f t="array" ref="K239">_xlfn.IFS(Table1[[#This Row],[Age]]&lt;25,"18-24",Table1[[#This Row],[Age]]&lt;35,"25-34",Table1[[#This Row],[Age]]&lt;45,"35-44",Table1[[#This Row],[Age]]&lt;55,"45-54",TRUE,"55+")</f>
        <v>35-44</v>
      </c>
      <c r="L239" t="str">
        <f>"Q"&amp;ROUNDUP(MONTH(Table1[[#This Row],[Date]])/3,0)</f>
        <v>Q1</v>
      </c>
    </row>
    <row r="240" spans="1:12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5">
        <v>500</v>
      </c>
      <c r="I240" s="5">
        <v>1500</v>
      </c>
      <c r="J240" s="2" t="str">
        <f>TEXT(Table1[[#This Row],[Date]],"mmm")</f>
        <v>Jun</v>
      </c>
      <c r="K240" t="str" cm="1">
        <f t="array" ref="K240">_xlfn.IFS(Table1[[#This Row],[Age]]&lt;25,"18-24",Table1[[#This Row],[Age]]&lt;35,"25-34",Table1[[#This Row],[Age]]&lt;45,"35-44",Table1[[#This Row],[Age]]&lt;55,"45-54",TRUE,"55+")</f>
        <v>35-44</v>
      </c>
      <c r="L240" t="str">
        <f>"Q"&amp;ROUNDUP(MONTH(Table1[[#This Row],[Date]])/3,0)</f>
        <v>Q2</v>
      </c>
    </row>
    <row r="241" spans="1:12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5">
        <v>300</v>
      </c>
      <c r="I241" s="5">
        <v>300</v>
      </c>
      <c r="J241" s="2" t="str">
        <f>TEXT(Table1[[#This Row],[Date]],"mmm")</f>
        <v>Feb</v>
      </c>
      <c r="K241" t="str" cm="1">
        <f t="array" ref="K241">_xlfn.IFS(Table1[[#This Row],[Age]]&lt;25,"18-24",Table1[[#This Row],[Age]]&lt;35,"25-34",Table1[[#This Row],[Age]]&lt;45,"35-44",Table1[[#This Row],[Age]]&lt;55,"45-54",TRUE,"55+")</f>
        <v>18-24</v>
      </c>
      <c r="L241" t="str">
        <f>"Q"&amp;ROUNDUP(MONTH(Table1[[#This Row],[Date]])/3,0)</f>
        <v>Q1</v>
      </c>
    </row>
    <row r="242" spans="1:12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5">
        <v>25</v>
      </c>
      <c r="I242" s="5">
        <v>75</v>
      </c>
      <c r="J242" s="2" t="str">
        <f>TEXT(Table1[[#This Row],[Date]],"mmm")</f>
        <v>Sep</v>
      </c>
      <c r="K242" t="str" cm="1">
        <f t="array" ref="K242">_xlfn.IFS(Table1[[#This Row],[Age]]&lt;25,"18-24",Table1[[#This Row],[Age]]&lt;35,"25-34",Table1[[#This Row],[Age]]&lt;45,"35-44",Table1[[#This Row],[Age]]&lt;55,"45-54",TRUE,"55+")</f>
        <v>18-24</v>
      </c>
      <c r="L242" t="str">
        <f>"Q"&amp;ROUNDUP(MONTH(Table1[[#This Row],[Date]])/3,0)</f>
        <v>Q3</v>
      </c>
    </row>
    <row r="243" spans="1:12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5">
        <v>25</v>
      </c>
      <c r="I243" s="5">
        <v>25</v>
      </c>
      <c r="J243" s="2" t="str">
        <f>TEXT(Table1[[#This Row],[Date]],"mmm")</f>
        <v>May</v>
      </c>
      <c r="K243" t="str" cm="1">
        <f t="array" ref="K243">_xlfn.IFS(Table1[[#This Row],[Age]]&lt;25,"18-24",Table1[[#This Row],[Age]]&lt;35,"25-34",Table1[[#This Row],[Age]]&lt;45,"35-44",Table1[[#This Row],[Age]]&lt;55,"45-54",TRUE,"55+")</f>
        <v>18-24</v>
      </c>
      <c r="L243" t="str">
        <f>"Q"&amp;ROUNDUP(MONTH(Table1[[#This Row],[Date]])/3,0)</f>
        <v>Q2</v>
      </c>
    </row>
    <row r="244" spans="1:12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5">
        <v>300</v>
      </c>
      <c r="I244" s="5">
        <v>900</v>
      </c>
      <c r="J244" s="2" t="str">
        <f>TEXT(Table1[[#This Row],[Date]],"mmm")</f>
        <v>May</v>
      </c>
      <c r="K244" t="str" cm="1">
        <f t="array" ref="K244">_xlfn.IFS(Table1[[#This Row],[Age]]&lt;25,"18-24",Table1[[#This Row],[Age]]&lt;35,"25-34",Table1[[#This Row],[Age]]&lt;45,"35-44",Table1[[#This Row],[Age]]&lt;55,"45-54",TRUE,"55+")</f>
        <v>45-54</v>
      </c>
      <c r="L244" t="str">
        <f>"Q"&amp;ROUNDUP(MONTH(Table1[[#This Row],[Date]])/3,0)</f>
        <v>Q2</v>
      </c>
    </row>
    <row r="245" spans="1:12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5">
        <v>50</v>
      </c>
      <c r="I245" s="5">
        <v>100</v>
      </c>
      <c r="J245" s="2" t="str">
        <f>TEXT(Table1[[#This Row],[Date]],"mmm")</f>
        <v>Dec</v>
      </c>
      <c r="K245" t="str" cm="1">
        <f t="array" ref="K245">_xlfn.IFS(Table1[[#This Row],[Age]]&lt;25,"18-24",Table1[[#This Row],[Age]]&lt;35,"25-34",Table1[[#This Row],[Age]]&lt;45,"35-44",Table1[[#This Row],[Age]]&lt;55,"45-54",TRUE,"55+")</f>
        <v>25-34</v>
      </c>
      <c r="L245" t="str">
        <f>"Q"&amp;ROUNDUP(MONTH(Table1[[#This Row],[Date]])/3,0)</f>
        <v>Q4</v>
      </c>
    </row>
    <row r="246" spans="1:12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5">
        <v>30</v>
      </c>
      <c r="I246" s="5">
        <v>90</v>
      </c>
      <c r="J246" s="2" t="str">
        <f>TEXT(Table1[[#This Row],[Date]],"mmm")</f>
        <v>Sep</v>
      </c>
      <c r="K246" t="str" cm="1">
        <f t="array" ref="K246">_xlfn.IFS(Table1[[#This Row],[Age]]&lt;25,"18-24",Table1[[#This Row],[Age]]&lt;35,"25-34",Table1[[#This Row],[Age]]&lt;45,"35-44",Table1[[#This Row],[Age]]&lt;55,"45-54",TRUE,"55+")</f>
        <v>45-54</v>
      </c>
      <c r="L246" t="str">
        <f>"Q"&amp;ROUNDUP(MONTH(Table1[[#This Row],[Date]])/3,0)</f>
        <v>Q3</v>
      </c>
    </row>
    <row r="247" spans="1:12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5">
        <v>25</v>
      </c>
      <c r="I247" s="5">
        <v>50</v>
      </c>
      <c r="J247" s="2" t="str">
        <f>TEXT(Table1[[#This Row],[Date]],"mmm")</f>
        <v>Apr</v>
      </c>
      <c r="K247" t="str" cm="1">
        <f t="array" ref="K247">_xlfn.IFS(Table1[[#This Row],[Age]]&lt;25,"18-24",Table1[[#This Row],[Age]]&lt;35,"25-34",Table1[[#This Row],[Age]]&lt;45,"35-44",Table1[[#This Row],[Age]]&lt;55,"45-54",TRUE,"55+")</f>
        <v>45-54</v>
      </c>
      <c r="L247" t="str">
        <f>"Q"&amp;ROUNDUP(MONTH(Table1[[#This Row],[Date]])/3,0)</f>
        <v>Q2</v>
      </c>
    </row>
    <row r="248" spans="1:12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5">
        <v>30</v>
      </c>
      <c r="I248" s="5">
        <v>60</v>
      </c>
      <c r="J248" s="2" t="str">
        <f>TEXT(Table1[[#This Row],[Date]],"mmm")</f>
        <v>Oct</v>
      </c>
      <c r="K248" t="str" cm="1">
        <f t="array" ref="K248">_xlfn.IFS(Table1[[#This Row],[Age]]&lt;25,"18-24",Table1[[#This Row],[Age]]&lt;35,"25-34",Table1[[#This Row],[Age]]&lt;45,"35-44",Table1[[#This Row],[Age]]&lt;55,"45-54",TRUE,"55+")</f>
        <v>35-44</v>
      </c>
      <c r="L248" t="str">
        <f>"Q"&amp;ROUNDUP(MONTH(Table1[[#This Row],[Date]])/3,0)</f>
        <v>Q4</v>
      </c>
    </row>
    <row r="249" spans="1:12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5">
        <v>300</v>
      </c>
      <c r="I249" s="5">
        <v>900</v>
      </c>
      <c r="J249" s="2" t="str">
        <f>TEXT(Table1[[#This Row],[Date]],"mmm")</f>
        <v>Mar</v>
      </c>
      <c r="K249" t="str" cm="1">
        <f t="array" ref="K249">_xlfn.IFS(Table1[[#This Row],[Age]]&lt;25,"18-24",Table1[[#This Row],[Age]]&lt;35,"25-34",Table1[[#This Row],[Age]]&lt;45,"35-44",Table1[[#This Row],[Age]]&lt;55,"45-54",TRUE,"55+")</f>
        <v>25-34</v>
      </c>
      <c r="L249" t="str">
        <f>"Q"&amp;ROUNDUP(MONTH(Table1[[#This Row],[Date]])/3,0)</f>
        <v>Q1</v>
      </c>
    </row>
    <row r="250" spans="1:12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5">
        <v>50</v>
      </c>
      <c r="I250" s="5">
        <v>50</v>
      </c>
      <c r="J250" s="2" t="str">
        <f>TEXT(Table1[[#This Row],[Date]],"mmm")</f>
        <v>Oct</v>
      </c>
      <c r="K250" t="str" cm="1">
        <f t="array" ref="K250">_xlfn.IFS(Table1[[#This Row],[Age]]&lt;25,"18-24",Table1[[#This Row],[Age]]&lt;35,"25-34",Table1[[#This Row],[Age]]&lt;45,"35-44",Table1[[#This Row],[Age]]&lt;55,"45-54",TRUE,"55+")</f>
        <v>18-24</v>
      </c>
      <c r="L250" t="str">
        <f>"Q"&amp;ROUNDUP(MONTH(Table1[[#This Row],[Date]])/3,0)</f>
        <v>Q4</v>
      </c>
    </row>
    <row r="251" spans="1:12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5">
        <v>50</v>
      </c>
      <c r="I251" s="5">
        <v>50</v>
      </c>
      <c r="J251" s="2" t="str">
        <f>TEXT(Table1[[#This Row],[Date]],"mmm")</f>
        <v>Oct</v>
      </c>
      <c r="K251" t="str" cm="1">
        <f t="array" ref="K251">_xlfn.IFS(Table1[[#This Row],[Age]]&lt;25,"18-24",Table1[[#This Row],[Age]]&lt;35,"25-34",Table1[[#This Row],[Age]]&lt;45,"35-44",Table1[[#This Row],[Age]]&lt;55,"45-54",TRUE,"55+")</f>
        <v>45-54</v>
      </c>
      <c r="L251" t="str">
        <f>"Q"&amp;ROUNDUP(MONTH(Table1[[#This Row],[Date]])/3,0)</f>
        <v>Q4</v>
      </c>
    </row>
    <row r="252" spans="1:12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5">
        <v>50</v>
      </c>
      <c r="I252" s="5">
        <v>200</v>
      </c>
      <c r="J252" s="2" t="str">
        <f>TEXT(Table1[[#This Row],[Date]],"mmm")</f>
        <v>Aug</v>
      </c>
      <c r="K252" t="str" cm="1">
        <f t="array" ref="K252">_xlfn.IFS(Table1[[#This Row],[Age]]&lt;25,"18-24",Table1[[#This Row],[Age]]&lt;35,"25-34",Table1[[#This Row],[Age]]&lt;45,"35-44",Table1[[#This Row],[Age]]&lt;55,"45-54",TRUE,"55+")</f>
        <v>55+</v>
      </c>
      <c r="L252" t="str">
        <f>"Q"&amp;ROUNDUP(MONTH(Table1[[#This Row],[Date]])/3,0)</f>
        <v>Q3</v>
      </c>
    </row>
    <row r="253" spans="1:12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5">
        <v>300</v>
      </c>
      <c r="I253" s="5">
        <v>300</v>
      </c>
      <c r="J253" s="2" t="str">
        <f>TEXT(Table1[[#This Row],[Date]],"mmm")</f>
        <v>May</v>
      </c>
      <c r="K253" t="str" cm="1">
        <f t="array" ref="K253">_xlfn.IFS(Table1[[#This Row],[Age]]&lt;25,"18-24",Table1[[#This Row],[Age]]&lt;35,"25-34",Table1[[#This Row],[Age]]&lt;45,"35-44",Table1[[#This Row],[Age]]&lt;55,"45-54",TRUE,"55+")</f>
        <v>45-54</v>
      </c>
      <c r="L253" t="str">
        <f>"Q"&amp;ROUNDUP(MONTH(Table1[[#This Row],[Date]])/3,0)</f>
        <v>Q2</v>
      </c>
    </row>
    <row r="254" spans="1:12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5">
        <v>500</v>
      </c>
      <c r="I254" s="5">
        <v>2000</v>
      </c>
      <c r="J254" s="2" t="str">
        <f>TEXT(Table1[[#This Row],[Date]],"mmm")</f>
        <v>Aug</v>
      </c>
      <c r="K254" t="str" cm="1">
        <f t="array" ref="K254">_xlfn.IFS(Table1[[#This Row],[Age]]&lt;25,"18-24",Table1[[#This Row],[Age]]&lt;35,"25-34",Table1[[#This Row],[Age]]&lt;45,"35-44",Table1[[#This Row],[Age]]&lt;55,"45-54",TRUE,"55+")</f>
        <v>45-54</v>
      </c>
      <c r="L254" t="str">
        <f>"Q"&amp;ROUNDUP(MONTH(Table1[[#This Row],[Date]])/3,0)</f>
        <v>Q3</v>
      </c>
    </row>
    <row r="255" spans="1:12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5">
        <v>500</v>
      </c>
      <c r="I255" s="5">
        <v>500</v>
      </c>
      <c r="J255" s="2" t="str">
        <f>TEXT(Table1[[#This Row],[Date]],"mmm")</f>
        <v>Jul</v>
      </c>
      <c r="K255" t="str" cm="1">
        <f t="array" ref="K255">_xlfn.IFS(Table1[[#This Row],[Age]]&lt;25,"18-24",Table1[[#This Row],[Age]]&lt;35,"25-34",Table1[[#This Row],[Age]]&lt;45,"35-44",Table1[[#This Row],[Age]]&lt;55,"45-54",TRUE,"55+")</f>
        <v>35-44</v>
      </c>
      <c r="L255" t="str">
        <f>"Q"&amp;ROUNDUP(MONTH(Table1[[#This Row],[Date]])/3,0)</f>
        <v>Q3</v>
      </c>
    </row>
    <row r="256" spans="1:12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5">
        <v>30</v>
      </c>
      <c r="I256" s="5">
        <v>30</v>
      </c>
      <c r="J256" s="2" t="str">
        <f>TEXT(Table1[[#This Row],[Date]],"mmm")</f>
        <v>Apr</v>
      </c>
      <c r="K256" t="str" cm="1">
        <f t="array" ref="K256">_xlfn.IFS(Table1[[#This Row],[Age]]&lt;25,"18-24",Table1[[#This Row],[Age]]&lt;35,"25-34",Table1[[#This Row],[Age]]&lt;45,"35-44",Table1[[#This Row],[Age]]&lt;55,"45-54",TRUE,"55+")</f>
        <v>45-54</v>
      </c>
      <c r="L256" t="str">
        <f>"Q"&amp;ROUNDUP(MONTH(Table1[[#This Row],[Date]])/3,0)</f>
        <v>Q2</v>
      </c>
    </row>
    <row r="257" spans="1:12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5">
        <v>500</v>
      </c>
      <c r="I257" s="5">
        <v>1000</v>
      </c>
      <c r="J257" s="2" t="str">
        <f>TEXT(Table1[[#This Row],[Date]],"mmm")</f>
        <v>Feb</v>
      </c>
      <c r="K257" t="str" cm="1">
        <f t="array" ref="K257">_xlfn.IFS(Table1[[#This Row],[Age]]&lt;25,"18-24",Table1[[#This Row],[Age]]&lt;35,"25-34",Table1[[#This Row],[Age]]&lt;45,"35-44",Table1[[#This Row],[Age]]&lt;55,"45-54",TRUE,"55+")</f>
        <v>18-24</v>
      </c>
      <c r="L257" t="str">
        <f>"Q"&amp;ROUNDUP(MONTH(Table1[[#This Row],[Date]])/3,0)</f>
        <v>Q1</v>
      </c>
    </row>
    <row r="258" spans="1:12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5">
        <v>500</v>
      </c>
      <c r="I258" s="5">
        <v>2000</v>
      </c>
      <c r="J258" s="2" t="str">
        <f>TEXT(Table1[[#This Row],[Date]],"mmm")</f>
        <v>Feb</v>
      </c>
      <c r="K258" t="str" cm="1">
        <f t="array" ref="K258">_xlfn.IFS(Table1[[#This Row],[Age]]&lt;25,"18-24",Table1[[#This Row],[Age]]&lt;35,"25-34",Table1[[#This Row],[Age]]&lt;45,"35-44",Table1[[#This Row],[Age]]&lt;55,"45-54",TRUE,"55+")</f>
        <v>18-24</v>
      </c>
      <c r="L258" t="str">
        <f>"Q"&amp;ROUNDUP(MONTH(Table1[[#This Row],[Date]])/3,0)</f>
        <v>Q1</v>
      </c>
    </row>
    <row r="259" spans="1:12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5">
        <v>50</v>
      </c>
      <c r="I259" s="5">
        <v>50</v>
      </c>
      <c r="J259" s="2" t="str">
        <f>TEXT(Table1[[#This Row],[Date]],"mmm")</f>
        <v>Dec</v>
      </c>
      <c r="K259" t="str" cm="1">
        <f t="array" ref="K259">_xlfn.IFS(Table1[[#This Row],[Age]]&lt;25,"18-24",Table1[[#This Row],[Age]]&lt;35,"25-34",Table1[[#This Row],[Age]]&lt;45,"35-44",Table1[[#This Row],[Age]]&lt;55,"45-54",TRUE,"55+")</f>
        <v>35-44</v>
      </c>
      <c r="L259" t="str">
        <f>"Q"&amp;ROUNDUP(MONTH(Table1[[#This Row],[Date]])/3,0)</f>
        <v>Q4</v>
      </c>
    </row>
    <row r="260" spans="1:12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5">
        <v>50</v>
      </c>
      <c r="I260" s="5">
        <v>200</v>
      </c>
      <c r="J260" s="2" t="str">
        <f>TEXT(Table1[[#This Row],[Date]],"mmm")</f>
        <v>Aug</v>
      </c>
      <c r="K260" t="str" cm="1">
        <f t="array" ref="K260">_xlfn.IFS(Table1[[#This Row],[Age]]&lt;25,"18-24",Table1[[#This Row],[Age]]&lt;35,"25-34",Table1[[#This Row],[Age]]&lt;45,"35-44",Table1[[#This Row],[Age]]&lt;55,"45-54",TRUE,"55+")</f>
        <v>45-54</v>
      </c>
      <c r="L260" t="str">
        <f>"Q"&amp;ROUNDUP(MONTH(Table1[[#This Row],[Date]])/3,0)</f>
        <v>Q3</v>
      </c>
    </row>
    <row r="261" spans="1:12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5">
        <v>30</v>
      </c>
      <c r="I261" s="5">
        <v>60</v>
      </c>
      <c r="J261" s="2" t="str">
        <f>TEXT(Table1[[#This Row],[Date]],"mmm")</f>
        <v>Jul</v>
      </c>
      <c r="K261" t="str" cm="1">
        <f t="array" ref="K261">_xlfn.IFS(Table1[[#This Row],[Age]]&lt;25,"18-24",Table1[[#This Row],[Age]]&lt;35,"25-34",Table1[[#This Row],[Age]]&lt;45,"35-44",Table1[[#This Row],[Age]]&lt;55,"45-54",TRUE,"55+")</f>
        <v>25-34</v>
      </c>
      <c r="L261" t="str">
        <f>"Q"&amp;ROUNDUP(MONTH(Table1[[#This Row],[Date]])/3,0)</f>
        <v>Q3</v>
      </c>
    </row>
    <row r="262" spans="1:12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5">
        <v>25</v>
      </c>
      <c r="I262" s="5">
        <v>50</v>
      </c>
      <c r="J262" s="2" t="str">
        <f>TEXT(Table1[[#This Row],[Date]],"mmm")</f>
        <v>Aug</v>
      </c>
      <c r="K262" t="str" cm="1">
        <f t="array" ref="K262">_xlfn.IFS(Table1[[#This Row],[Age]]&lt;25,"18-24",Table1[[#This Row],[Age]]&lt;35,"25-34",Table1[[#This Row],[Age]]&lt;45,"35-44",Table1[[#This Row],[Age]]&lt;55,"45-54",TRUE,"55+")</f>
        <v>18-24</v>
      </c>
      <c r="L262" t="str">
        <f>"Q"&amp;ROUNDUP(MONTH(Table1[[#This Row],[Date]])/3,0)</f>
        <v>Q3</v>
      </c>
    </row>
    <row r="263" spans="1:12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5">
        <v>30</v>
      </c>
      <c r="I263" s="5">
        <v>120</v>
      </c>
      <c r="J263" s="2" t="str">
        <f>TEXT(Table1[[#This Row],[Date]],"mmm")</f>
        <v>Jul</v>
      </c>
      <c r="K263" t="str" cm="1">
        <f t="array" ref="K263">_xlfn.IFS(Table1[[#This Row],[Age]]&lt;25,"18-24",Table1[[#This Row],[Age]]&lt;35,"25-34",Table1[[#This Row],[Age]]&lt;45,"35-44",Table1[[#This Row],[Age]]&lt;55,"45-54",TRUE,"55+")</f>
        <v>25-34</v>
      </c>
      <c r="L263" t="str">
        <f>"Q"&amp;ROUNDUP(MONTH(Table1[[#This Row],[Date]])/3,0)</f>
        <v>Q3</v>
      </c>
    </row>
    <row r="264" spans="1:12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5">
        <v>30</v>
      </c>
      <c r="I264" s="5">
        <v>60</v>
      </c>
      <c r="J264" s="2" t="str">
        <f>TEXT(Table1[[#This Row],[Date]],"mmm")</f>
        <v>Aug</v>
      </c>
      <c r="K264" t="str" cm="1">
        <f t="array" ref="K264">_xlfn.IFS(Table1[[#This Row],[Age]]&lt;25,"18-24",Table1[[#This Row],[Age]]&lt;35,"25-34",Table1[[#This Row],[Age]]&lt;45,"35-44",Table1[[#This Row],[Age]]&lt;55,"45-54",TRUE,"55+")</f>
        <v>18-24</v>
      </c>
      <c r="L264" t="str">
        <f>"Q"&amp;ROUNDUP(MONTH(Table1[[#This Row],[Date]])/3,0)</f>
        <v>Q3</v>
      </c>
    </row>
    <row r="265" spans="1:12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5">
        <v>300</v>
      </c>
      <c r="I265" s="5">
        <v>900</v>
      </c>
      <c r="J265" s="2" t="str">
        <f>TEXT(Table1[[#This Row],[Date]],"mmm")</f>
        <v>Jan</v>
      </c>
      <c r="K265" t="str" cm="1">
        <f t="array" ref="K265">_xlfn.IFS(Table1[[#This Row],[Age]]&lt;25,"18-24",Table1[[#This Row],[Age]]&lt;35,"25-34",Table1[[#This Row],[Age]]&lt;45,"35-44",Table1[[#This Row],[Age]]&lt;55,"45-54",TRUE,"55+")</f>
        <v>45-54</v>
      </c>
      <c r="L265" t="str">
        <f>"Q"&amp;ROUNDUP(MONTH(Table1[[#This Row],[Date]])/3,0)</f>
        <v>Q1</v>
      </c>
    </row>
    <row r="266" spans="1:12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5">
        <v>300</v>
      </c>
      <c r="I266" s="5">
        <v>900</v>
      </c>
      <c r="J266" s="2" t="str">
        <f>TEXT(Table1[[#This Row],[Date]],"mmm")</f>
        <v>Dec</v>
      </c>
      <c r="K266" t="str" cm="1">
        <f t="array" ref="K266">_xlfn.IFS(Table1[[#This Row],[Age]]&lt;25,"18-24",Table1[[#This Row],[Age]]&lt;35,"25-34",Table1[[#This Row],[Age]]&lt;45,"35-44",Table1[[#This Row],[Age]]&lt;55,"45-54",TRUE,"55+")</f>
        <v>55+</v>
      </c>
      <c r="L266" t="str">
        <f>"Q"&amp;ROUNDUP(MONTH(Table1[[#This Row],[Date]])/3,0)</f>
        <v>Q4</v>
      </c>
    </row>
    <row r="267" spans="1:12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5">
        <v>30</v>
      </c>
      <c r="I267" s="5">
        <v>60</v>
      </c>
      <c r="J267" s="2" t="str">
        <f>TEXT(Table1[[#This Row],[Date]],"mmm")</f>
        <v>Dec</v>
      </c>
      <c r="K267" t="str" cm="1">
        <f t="array" ref="K267">_xlfn.IFS(Table1[[#This Row],[Age]]&lt;25,"18-24",Table1[[#This Row],[Age]]&lt;35,"25-34",Table1[[#This Row],[Age]]&lt;45,"35-44",Table1[[#This Row],[Age]]&lt;55,"45-54",TRUE,"55+")</f>
        <v>18-24</v>
      </c>
      <c r="L267" t="str">
        <f>"Q"&amp;ROUNDUP(MONTH(Table1[[#This Row],[Date]])/3,0)</f>
        <v>Q4</v>
      </c>
    </row>
    <row r="268" spans="1:12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5">
        <v>30</v>
      </c>
      <c r="I268" s="5">
        <v>90</v>
      </c>
      <c r="J268" s="2" t="str">
        <f>TEXT(Table1[[#This Row],[Date]],"mmm")</f>
        <v>Nov</v>
      </c>
      <c r="K268" t="str" cm="1">
        <f t="array" ref="K268">_xlfn.IFS(Table1[[#This Row],[Age]]&lt;25,"18-24",Table1[[#This Row],[Age]]&lt;35,"25-34",Table1[[#This Row],[Age]]&lt;45,"35-44",Table1[[#This Row],[Age]]&lt;55,"45-54",TRUE,"55+")</f>
        <v>25-34</v>
      </c>
      <c r="L268" t="str">
        <f>"Q"&amp;ROUNDUP(MONTH(Table1[[#This Row],[Date]])/3,0)</f>
        <v>Q4</v>
      </c>
    </row>
    <row r="269" spans="1:12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5">
        <v>30</v>
      </c>
      <c r="I269" s="5">
        <v>30</v>
      </c>
      <c r="J269" s="2" t="str">
        <f>TEXT(Table1[[#This Row],[Date]],"mmm")</f>
        <v>Feb</v>
      </c>
      <c r="K269" t="str" cm="1">
        <f t="array" ref="K269">_xlfn.IFS(Table1[[#This Row],[Age]]&lt;25,"18-24",Table1[[#This Row],[Age]]&lt;35,"25-34",Table1[[#This Row],[Age]]&lt;45,"35-44",Table1[[#This Row],[Age]]&lt;55,"45-54",TRUE,"55+")</f>
        <v>25-34</v>
      </c>
      <c r="L269" t="str">
        <f>"Q"&amp;ROUNDUP(MONTH(Table1[[#This Row],[Date]])/3,0)</f>
        <v>Q1</v>
      </c>
    </row>
    <row r="270" spans="1:12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5">
        <v>500</v>
      </c>
      <c r="I270" s="5">
        <v>2000</v>
      </c>
      <c r="J270" s="2" t="str">
        <f>TEXT(Table1[[#This Row],[Date]],"mmm")</f>
        <v>Feb</v>
      </c>
      <c r="K270" t="str" cm="1">
        <f t="array" ref="K270">_xlfn.IFS(Table1[[#This Row],[Age]]&lt;25,"18-24",Table1[[#This Row],[Age]]&lt;35,"25-34",Table1[[#This Row],[Age]]&lt;45,"35-44",Table1[[#This Row],[Age]]&lt;55,"45-54",TRUE,"55+")</f>
        <v>25-34</v>
      </c>
      <c r="L270" t="str">
        <f>"Q"&amp;ROUNDUP(MONTH(Table1[[#This Row],[Date]])/3,0)</f>
        <v>Q1</v>
      </c>
    </row>
    <row r="271" spans="1:12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5">
        <v>300</v>
      </c>
      <c r="I271" s="5">
        <v>300</v>
      </c>
      <c r="J271" s="2" t="str">
        <f>TEXT(Table1[[#This Row],[Date]],"mmm")</f>
        <v>Jul</v>
      </c>
      <c r="K271" t="str" cm="1">
        <f t="array" ref="K271">_xlfn.IFS(Table1[[#This Row],[Age]]&lt;25,"18-24",Table1[[#This Row],[Age]]&lt;35,"25-34",Table1[[#This Row],[Age]]&lt;45,"35-44",Table1[[#This Row],[Age]]&lt;55,"45-54",TRUE,"55+")</f>
        <v>35-44</v>
      </c>
      <c r="L271" t="str">
        <f>"Q"&amp;ROUNDUP(MONTH(Table1[[#This Row],[Date]])/3,0)</f>
        <v>Q3</v>
      </c>
    </row>
    <row r="272" spans="1:12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5">
        <v>30</v>
      </c>
      <c r="I272" s="5">
        <v>120</v>
      </c>
      <c r="J272" s="2" t="str">
        <f>TEXT(Table1[[#This Row],[Date]],"mmm")</f>
        <v>Jun</v>
      </c>
      <c r="K272" t="str" cm="1">
        <f t="array" ref="K272">_xlfn.IFS(Table1[[#This Row],[Age]]&lt;25,"18-24",Table1[[#This Row],[Age]]&lt;35,"25-34",Table1[[#This Row],[Age]]&lt;45,"35-44",Table1[[#This Row],[Age]]&lt;55,"45-54",TRUE,"55+")</f>
        <v>55+</v>
      </c>
      <c r="L272" t="str">
        <f>"Q"&amp;ROUNDUP(MONTH(Table1[[#This Row],[Date]])/3,0)</f>
        <v>Q2</v>
      </c>
    </row>
    <row r="273" spans="1:12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5">
        <v>50</v>
      </c>
      <c r="I273" s="5">
        <v>100</v>
      </c>
      <c r="J273" s="2" t="str">
        <f>TEXT(Table1[[#This Row],[Date]],"mmm")</f>
        <v>Feb</v>
      </c>
      <c r="K273" t="str" cm="1">
        <f t="array" ref="K273">_xlfn.IFS(Table1[[#This Row],[Age]]&lt;25,"18-24",Table1[[#This Row],[Age]]&lt;35,"25-34",Table1[[#This Row],[Age]]&lt;45,"35-44",Table1[[#This Row],[Age]]&lt;55,"45-54",TRUE,"55+")</f>
        <v>55+</v>
      </c>
      <c r="L273" t="str">
        <f>"Q"&amp;ROUNDUP(MONTH(Table1[[#This Row],[Date]])/3,0)</f>
        <v>Q1</v>
      </c>
    </row>
    <row r="274" spans="1:12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5">
        <v>50</v>
      </c>
      <c r="I274" s="5">
        <v>50</v>
      </c>
      <c r="J274" s="2" t="str">
        <f>TEXT(Table1[[#This Row],[Date]],"mmm")</f>
        <v>May</v>
      </c>
      <c r="K274" t="str" cm="1">
        <f t="array" ref="K274">_xlfn.IFS(Table1[[#This Row],[Age]]&lt;25,"18-24",Table1[[#This Row],[Age]]&lt;35,"25-34",Table1[[#This Row],[Age]]&lt;45,"35-44",Table1[[#This Row],[Age]]&lt;55,"45-54",TRUE,"55+")</f>
        <v>18-24</v>
      </c>
      <c r="L274" t="str">
        <f>"Q"&amp;ROUNDUP(MONTH(Table1[[#This Row],[Date]])/3,0)</f>
        <v>Q2</v>
      </c>
    </row>
    <row r="275" spans="1:12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5">
        <v>500</v>
      </c>
      <c r="I275" s="5">
        <v>1000</v>
      </c>
      <c r="J275" s="2" t="str">
        <f>TEXT(Table1[[#This Row],[Date]],"mmm")</f>
        <v>Apr</v>
      </c>
      <c r="K275" t="str" cm="1">
        <f t="array" ref="K275">_xlfn.IFS(Table1[[#This Row],[Age]]&lt;25,"18-24",Table1[[#This Row],[Age]]&lt;35,"25-34",Table1[[#This Row],[Age]]&lt;45,"35-44",Table1[[#This Row],[Age]]&lt;55,"45-54",TRUE,"55+")</f>
        <v>18-24</v>
      </c>
      <c r="L275" t="str">
        <f>"Q"&amp;ROUNDUP(MONTH(Table1[[#This Row],[Date]])/3,0)</f>
        <v>Q2</v>
      </c>
    </row>
    <row r="276" spans="1:12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5">
        <v>500</v>
      </c>
      <c r="I276" s="5">
        <v>1000</v>
      </c>
      <c r="J276" s="2" t="str">
        <f>TEXT(Table1[[#This Row],[Date]],"mmm")</f>
        <v>Apr</v>
      </c>
      <c r="K276" t="str" cm="1">
        <f t="array" ref="K276">_xlfn.IFS(Table1[[#This Row],[Age]]&lt;25,"18-24",Table1[[#This Row],[Age]]&lt;35,"25-34",Table1[[#This Row],[Age]]&lt;45,"35-44",Table1[[#This Row],[Age]]&lt;55,"45-54",TRUE,"55+")</f>
        <v>35-44</v>
      </c>
      <c r="L276" t="str">
        <f>"Q"&amp;ROUNDUP(MONTH(Table1[[#This Row],[Date]])/3,0)</f>
        <v>Q2</v>
      </c>
    </row>
    <row r="277" spans="1:12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5">
        <v>25</v>
      </c>
      <c r="I277" s="5">
        <v>100</v>
      </c>
      <c r="J277" s="2" t="str">
        <f>TEXT(Table1[[#This Row],[Date]],"mmm")</f>
        <v>Oct</v>
      </c>
      <c r="K277" t="str" cm="1">
        <f t="array" ref="K277">_xlfn.IFS(Table1[[#This Row],[Age]]&lt;25,"18-24",Table1[[#This Row],[Age]]&lt;35,"25-34",Table1[[#This Row],[Age]]&lt;45,"35-44",Table1[[#This Row],[Age]]&lt;55,"45-54",TRUE,"55+")</f>
        <v>18-24</v>
      </c>
      <c r="L277" t="str">
        <f>"Q"&amp;ROUNDUP(MONTH(Table1[[#This Row],[Date]])/3,0)</f>
        <v>Q4</v>
      </c>
    </row>
    <row r="278" spans="1:12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5">
        <v>25</v>
      </c>
      <c r="I278" s="5">
        <v>100</v>
      </c>
      <c r="J278" s="2" t="str">
        <f>TEXT(Table1[[#This Row],[Date]],"mmm")</f>
        <v>Aug</v>
      </c>
      <c r="K278" t="str" cm="1">
        <f t="array" ref="K278">_xlfn.IFS(Table1[[#This Row],[Age]]&lt;25,"18-24",Table1[[#This Row],[Age]]&lt;35,"25-34",Table1[[#This Row],[Age]]&lt;45,"35-44",Table1[[#This Row],[Age]]&lt;55,"45-54",TRUE,"55+")</f>
        <v>35-44</v>
      </c>
      <c r="L278" t="str">
        <f>"Q"&amp;ROUNDUP(MONTH(Table1[[#This Row],[Date]])/3,0)</f>
        <v>Q3</v>
      </c>
    </row>
    <row r="279" spans="1:12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5">
        <v>25</v>
      </c>
      <c r="I279" s="5">
        <v>100</v>
      </c>
      <c r="J279" s="2" t="str">
        <f>TEXT(Table1[[#This Row],[Date]],"mmm")</f>
        <v>Mar</v>
      </c>
      <c r="K279" t="str" cm="1">
        <f t="array" ref="K279">_xlfn.IFS(Table1[[#This Row],[Age]]&lt;25,"18-24",Table1[[#This Row],[Age]]&lt;35,"25-34",Table1[[#This Row],[Age]]&lt;45,"35-44",Table1[[#This Row],[Age]]&lt;55,"45-54",TRUE,"55+")</f>
        <v>35-44</v>
      </c>
      <c r="L279" t="str">
        <f>"Q"&amp;ROUNDUP(MONTH(Table1[[#This Row],[Date]])/3,0)</f>
        <v>Q1</v>
      </c>
    </row>
    <row r="280" spans="1:12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5">
        <v>500</v>
      </c>
      <c r="I280" s="5">
        <v>500</v>
      </c>
      <c r="J280" s="2" t="str">
        <f>TEXT(Table1[[#This Row],[Date]],"mmm")</f>
        <v>Aug</v>
      </c>
      <c r="K280" t="str" cm="1">
        <f t="array" ref="K280">_xlfn.IFS(Table1[[#This Row],[Age]]&lt;25,"18-24",Table1[[#This Row],[Age]]&lt;35,"25-34",Table1[[#This Row],[Age]]&lt;45,"35-44",Table1[[#This Row],[Age]]&lt;55,"45-54",TRUE,"55+")</f>
        <v>45-54</v>
      </c>
      <c r="L280" t="str">
        <f>"Q"&amp;ROUNDUP(MONTH(Table1[[#This Row],[Date]])/3,0)</f>
        <v>Q3</v>
      </c>
    </row>
    <row r="281" spans="1:12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5">
        <v>500</v>
      </c>
      <c r="I281" s="5">
        <v>1500</v>
      </c>
      <c r="J281" s="2" t="str">
        <f>TEXT(Table1[[#This Row],[Date]],"mmm")</f>
        <v>Apr</v>
      </c>
      <c r="K281" t="str" cm="1">
        <f t="array" ref="K281">_xlfn.IFS(Table1[[#This Row],[Age]]&lt;25,"18-24",Table1[[#This Row],[Age]]&lt;35,"25-34",Table1[[#This Row],[Age]]&lt;45,"35-44",Table1[[#This Row],[Age]]&lt;55,"45-54",TRUE,"55+")</f>
        <v>35-44</v>
      </c>
      <c r="L281" t="str">
        <f>"Q"&amp;ROUNDUP(MONTH(Table1[[#This Row],[Date]])/3,0)</f>
        <v>Q2</v>
      </c>
    </row>
    <row r="282" spans="1:12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5">
        <v>500</v>
      </c>
      <c r="I282" s="5">
        <v>2000</v>
      </c>
      <c r="J282" s="2" t="str">
        <f>TEXT(Table1[[#This Row],[Date]],"mmm")</f>
        <v>May</v>
      </c>
      <c r="K282" t="str" cm="1">
        <f t="array" ref="K282">_xlfn.IFS(Table1[[#This Row],[Age]]&lt;25,"18-24",Table1[[#This Row],[Age]]&lt;35,"25-34",Table1[[#This Row],[Age]]&lt;45,"35-44",Table1[[#This Row],[Age]]&lt;55,"45-54",TRUE,"55+")</f>
        <v>25-34</v>
      </c>
      <c r="L282" t="str">
        <f>"Q"&amp;ROUNDUP(MONTH(Table1[[#This Row],[Date]])/3,0)</f>
        <v>Q2</v>
      </c>
    </row>
    <row r="283" spans="1:12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5">
        <v>50</v>
      </c>
      <c r="I283" s="5">
        <v>200</v>
      </c>
      <c r="J283" s="2" t="str">
        <f>TEXT(Table1[[#This Row],[Date]],"mmm")</f>
        <v>Aug</v>
      </c>
      <c r="K283" t="str" cm="1">
        <f t="array" ref="K283">_xlfn.IFS(Table1[[#This Row],[Age]]&lt;25,"18-24",Table1[[#This Row],[Age]]&lt;35,"25-34",Table1[[#This Row],[Age]]&lt;45,"35-44",Table1[[#This Row],[Age]]&lt;55,"45-54",TRUE,"55+")</f>
        <v>55+</v>
      </c>
      <c r="L283" t="str">
        <f>"Q"&amp;ROUNDUP(MONTH(Table1[[#This Row],[Date]])/3,0)</f>
        <v>Q3</v>
      </c>
    </row>
    <row r="284" spans="1:12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5">
        <v>500</v>
      </c>
      <c r="I284" s="5">
        <v>500</v>
      </c>
      <c r="J284" s="2" t="str">
        <f>TEXT(Table1[[#This Row],[Date]],"mmm")</f>
        <v>May</v>
      </c>
      <c r="K284" t="str" cm="1">
        <f t="array" ref="K284">_xlfn.IFS(Table1[[#This Row],[Age]]&lt;25,"18-24",Table1[[#This Row],[Age]]&lt;35,"25-34",Table1[[#This Row],[Age]]&lt;45,"35-44",Table1[[#This Row],[Age]]&lt;55,"45-54",TRUE,"55+")</f>
        <v>18-24</v>
      </c>
      <c r="L284" t="str">
        <f>"Q"&amp;ROUNDUP(MONTH(Table1[[#This Row],[Date]])/3,0)</f>
        <v>Q2</v>
      </c>
    </row>
    <row r="285" spans="1:12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5">
        <v>50</v>
      </c>
      <c r="I285" s="5">
        <v>200</v>
      </c>
      <c r="J285" s="2" t="str">
        <f>TEXT(Table1[[#This Row],[Date]],"mmm")</f>
        <v>Feb</v>
      </c>
      <c r="K285" t="str" cm="1">
        <f t="array" ref="K285">_xlfn.IFS(Table1[[#This Row],[Age]]&lt;25,"18-24",Table1[[#This Row],[Age]]&lt;35,"25-34",Table1[[#This Row],[Age]]&lt;45,"35-44",Table1[[#This Row],[Age]]&lt;55,"45-54",TRUE,"55+")</f>
        <v>35-44</v>
      </c>
      <c r="L285" t="str">
        <f>"Q"&amp;ROUNDUP(MONTH(Table1[[#This Row],[Date]])/3,0)</f>
        <v>Q1</v>
      </c>
    </row>
    <row r="286" spans="1:12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5">
        <v>25</v>
      </c>
      <c r="I286" s="5">
        <v>25</v>
      </c>
      <c r="J286" s="2" t="str">
        <f>TEXT(Table1[[#This Row],[Date]],"mmm")</f>
        <v>Aug</v>
      </c>
      <c r="K286" t="str" cm="1">
        <f t="array" ref="K286">_xlfn.IFS(Table1[[#This Row],[Age]]&lt;25,"18-24",Table1[[#This Row],[Age]]&lt;35,"25-34",Table1[[#This Row],[Age]]&lt;45,"35-44",Table1[[#This Row],[Age]]&lt;55,"45-54",TRUE,"55+")</f>
        <v>25-34</v>
      </c>
      <c r="L286" t="str">
        <f>"Q"&amp;ROUNDUP(MONTH(Table1[[#This Row],[Date]])/3,0)</f>
        <v>Q3</v>
      </c>
    </row>
    <row r="287" spans="1:12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5">
        <v>25</v>
      </c>
      <c r="I287" s="5">
        <v>50</v>
      </c>
      <c r="J287" s="2" t="str">
        <f>TEXT(Table1[[#This Row],[Date]],"mmm")</f>
        <v>Oct</v>
      </c>
      <c r="K287" t="str" cm="1">
        <f t="array" ref="K287">_xlfn.IFS(Table1[[#This Row],[Age]]&lt;25,"18-24",Table1[[#This Row],[Age]]&lt;35,"25-34",Table1[[#This Row],[Age]]&lt;45,"35-44",Table1[[#This Row],[Age]]&lt;55,"45-54",TRUE,"55+")</f>
        <v>55+</v>
      </c>
      <c r="L287" t="str">
        <f>"Q"&amp;ROUNDUP(MONTH(Table1[[#This Row],[Date]])/3,0)</f>
        <v>Q4</v>
      </c>
    </row>
    <row r="288" spans="1:12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5">
        <v>25</v>
      </c>
      <c r="I288" s="5">
        <v>100</v>
      </c>
      <c r="J288" s="2" t="str">
        <f>TEXT(Table1[[#This Row],[Date]],"mmm")</f>
        <v>Feb</v>
      </c>
      <c r="K288" t="str" cm="1">
        <f t="array" ref="K288">_xlfn.IFS(Table1[[#This Row],[Age]]&lt;25,"18-24",Table1[[#This Row],[Age]]&lt;35,"25-34",Table1[[#This Row],[Age]]&lt;45,"35-44",Table1[[#This Row],[Age]]&lt;55,"45-54",TRUE,"55+")</f>
        <v>45-54</v>
      </c>
      <c r="L288" t="str">
        <f>"Q"&amp;ROUNDUP(MONTH(Table1[[#This Row],[Date]])/3,0)</f>
        <v>Q1</v>
      </c>
    </row>
    <row r="289" spans="1:12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5">
        <v>30</v>
      </c>
      <c r="I289" s="5">
        <v>120</v>
      </c>
      <c r="J289" s="2" t="str">
        <f>TEXT(Table1[[#This Row],[Date]],"mmm")</f>
        <v>Jan</v>
      </c>
      <c r="K289" t="str" cm="1">
        <f t="array" ref="K289">_xlfn.IFS(Table1[[#This Row],[Age]]&lt;25,"18-24",Table1[[#This Row],[Age]]&lt;35,"25-34",Table1[[#This Row],[Age]]&lt;45,"35-44",Table1[[#This Row],[Age]]&lt;55,"45-54",TRUE,"55+")</f>
        <v>25-34</v>
      </c>
      <c r="L289" t="str">
        <f>"Q"&amp;ROUNDUP(MONTH(Table1[[#This Row],[Date]])/3,0)</f>
        <v>Q1</v>
      </c>
    </row>
    <row r="290" spans="1:12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5">
        <v>30</v>
      </c>
      <c r="I290" s="5">
        <v>60</v>
      </c>
      <c r="J290" s="2" t="str">
        <f>TEXT(Table1[[#This Row],[Date]],"mmm")</f>
        <v>Nov</v>
      </c>
      <c r="K290" t="str" cm="1">
        <f t="array" ref="K290">_xlfn.IFS(Table1[[#This Row],[Age]]&lt;25,"18-24",Table1[[#This Row],[Age]]&lt;35,"25-34",Table1[[#This Row],[Age]]&lt;45,"35-44",Table1[[#This Row],[Age]]&lt;55,"45-54",TRUE,"55+")</f>
        <v>45-54</v>
      </c>
      <c r="L290" t="str">
        <f>"Q"&amp;ROUNDUP(MONTH(Table1[[#This Row],[Date]])/3,0)</f>
        <v>Q4</v>
      </c>
    </row>
    <row r="291" spans="1:12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5">
        <v>300</v>
      </c>
      <c r="I291" s="5">
        <v>600</v>
      </c>
      <c r="J291" s="2" t="str">
        <f>TEXT(Table1[[#This Row],[Date]],"mmm")</f>
        <v>Oct</v>
      </c>
      <c r="K291" t="str" cm="1">
        <f t="array" ref="K291">_xlfn.IFS(Table1[[#This Row],[Age]]&lt;25,"18-24",Table1[[#This Row],[Age]]&lt;35,"25-34",Table1[[#This Row],[Age]]&lt;45,"35-44",Table1[[#This Row],[Age]]&lt;55,"45-54",TRUE,"55+")</f>
        <v>25-34</v>
      </c>
      <c r="L291" t="str">
        <f>"Q"&amp;ROUNDUP(MONTH(Table1[[#This Row],[Date]])/3,0)</f>
        <v>Q4</v>
      </c>
    </row>
    <row r="292" spans="1:12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5">
        <v>300</v>
      </c>
      <c r="I292" s="5">
        <v>600</v>
      </c>
      <c r="J292" s="2" t="str">
        <f>TEXT(Table1[[#This Row],[Date]],"mmm")</f>
        <v>Jan</v>
      </c>
      <c r="K292" t="str" cm="1">
        <f t="array" ref="K292">_xlfn.IFS(Table1[[#This Row],[Age]]&lt;25,"18-24",Table1[[#This Row],[Age]]&lt;35,"25-34",Table1[[#This Row],[Age]]&lt;45,"35-44",Table1[[#This Row],[Age]]&lt;55,"45-54",TRUE,"55+")</f>
        <v>55+</v>
      </c>
      <c r="L292" t="str">
        <f>"Q"&amp;ROUNDUP(MONTH(Table1[[#This Row],[Date]])/3,0)</f>
        <v>Q1</v>
      </c>
    </row>
    <row r="293" spans="1:12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5">
        <v>300</v>
      </c>
      <c r="I293" s="5">
        <v>1200</v>
      </c>
      <c r="J293" s="2" t="str">
        <f>TEXT(Table1[[#This Row],[Date]],"mmm")</f>
        <v>Feb</v>
      </c>
      <c r="K293" t="str" cm="1">
        <f t="array" ref="K293">_xlfn.IFS(Table1[[#This Row],[Age]]&lt;25,"18-24",Table1[[#This Row],[Age]]&lt;35,"25-34",Table1[[#This Row],[Age]]&lt;45,"35-44",Table1[[#This Row],[Age]]&lt;55,"45-54",TRUE,"55+")</f>
        <v>18-24</v>
      </c>
      <c r="L293" t="str">
        <f>"Q"&amp;ROUNDUP(MONTH(Table1[[#This Row],[Date]])/3,0)</f>
        <v>Q1</v>
      </c>
    </row>
    <row r="294" spans="1:12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5">
        <v>30</v>
      </c>
      <c r="I294" s="5">
        <v>90</v>
      </c>
      <c r="J294" s="2" t="str">
        <f>TEXT(Table1[[#This Row],[Date]],"mmm")</f>
        <v>May</v>
      </c>
      <c r="K294" t="str" cm="1">
        <f t="array" ref="K294">_xlfn.IFS(Table1[[#This Row],[Age]]&lt;25,"18-24",Table1[[#This Row],[Age]]&lt;35,"25-34",Table1[[#This Row],[Age]]&lt;45,"35-44",Table1[[#This Row],[Age]]&lt;55,"45-54",TRUE,"55+")</f>
        <v>45-54</v>
      </c>
      <c r="L294" t="str">
        <f>"Q"&amp;ROUNDUP(MONTH(Table1[[#This Row],[Date]])/3,0)</f>
        <v>Q2</v>
      </c>
    </row>
    <row r="295" spans="1:12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5">
        <v>30</v>
      </c>
      <c r="I295" s="5">
        <v>90</v>
      </c>
      <c r="J295" s="2" t="str">
        <f>TEXT(Table1[[#This Row],[Date]],"mmm")</f>
        <v>Mar</v>
      </c>
      <c r="K295" t="str" cm="1">
        <f t="array" ref="K295">_xlfn.IFS(Table1[[#This Row],[Age]]&lt;25,"18-24",Table1[[#This Row],[Age]]&lt;35,"25-34",Table1[[#This Row],[Age]]&lt;45,"35-44",Table1[[#This Row],[Age]]&lt;55,"45-54",TRUE,"55+")</f>
        <v>18-24</v>
      </c>
      <c r="L295" t="str">
        <f>"Q"&amp;ROUNDUP(MONTH(Table1[[#This Row],[Date]])/3,0)</f>
        <v>Q1</v>
      </c>
    </row>
    <row r="296" spans="1:12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5">
        <v>300</v>
      </c>
      <c r="I296" s="5">
        <v>900</v>
      </c>
      <c r="J296" s="2" t="str">
        <f>TEXT(Table1[[#This Row],[Date]],"mmm")</f>
        <v>Jul</v>
      </c>
      <c r="K296" t="str" cm="1">
        <f t="array" ref="K296">_xlfn.IFS(Table1[[#This Row],[Age]]&lt;25,"18-24",Table1[[#This Row],[Age]]&lt;35,"25-34",Table1[[#This Row],[Age]]&lt;45,"35-44",Table1[[#This Row],[Age]]&lt;55,"45-54",TRUE,"55+")</f>
        <v>25-34</v>
      </c>
      <c r="L296" t="str">
        <f>"Q"&amp;ROUNDUP(MONTH(Table1[[#This Row],[Date]])/3,0)</f>
        <v>Q3</v>
      </c>
    </row>
    <row r="297" spans="1:12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5">
        <v>300</v>
      </c>
      <c r="I297" s="5">
        <v>1200</v>
      </c>
      <c r="J297" s="2" t="str">
        <f>TEXT(Table1[[#This Row],[Date]],"mmm")</f>
        <v>Sep</v>
      </c>
      <c r="K297" t="str" cm="1">
        <f t="array" ref="K297">_xlfn.IFS(Table1[[#This Row],[Age]]&lt;25,"18-24",Table1[[#This Row],[Age]]&lt;35,"25-34",Table1[[#This Row],[Age]]&lt;45,"35-44",Table1[[#This Row],[Age]]&lt;55,"45-54",TRUE,"55+")</f>
        <v>18-24</v>
      </c>
      <c r="L297" t="str">
        <f>"Q"&amp;ROUNDUP(MONTH(Table1[[#This Row],[Date]])/3,0)</f>
        <v>Q3</v>
      </c>
    </row>
    <row r="298" spans="1:12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5">
        <v>500</v>
      </c>
      <c r="I298" s="5">
        <v>1000</v>
      </c>
      <c r="J298" s="2" t="str">
        <f>TEXT(Table1[[#This Row],[Date]],"mmm")</f>
        <v>Sep</v>
      </c>
      <c r="K298" t="str" cm="1">
        <f t="array" ref="K298">_xlfn.IFS(Table1[[#This Row],[Age]]&lt;25,"18-24",Table1[[#This Row],[Age]]&lt;35,"25-34",Table1[[#This Row],[Age]]&lt;45,"35-44",Table1[[#This Row],[Age]]&lt;55,"45-54",TRUE,"55+")</f>
        <v>35-44</v>
      </c>
      <c r="L298" t="str">
        <f>"Q"&amp;ROUNDUP(MONTH(Table1[[#This Row],[Date]])/3,0)</f>
        <v>Q3</v>
      </c>
    </row>
    <row r="299" spans="1:12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5">
        <v>300</v>
      </c>
      <c r="I299" s="5">
        <v>1200</v>
      </c>
      <c r="J299" s="2" t="str">
        <f>TEXT(Table1[[#This Row],[Date]],"mmm")</f>
        <v>Apr</v>
      </c>
      <c r="K299" t="str" cm="1">
        <f t="array" ref="K299">_xlfn.IFS(Table1[[#This Row],[Age]]&lt;25,"18-24",Table1[[#This Row],[Age]]&lt;35,"25-34",Table1[[#This Row],[Age]]&lt;45,"35-44",Table1[[#This Row],[Age]]&lt;55,"45-54",TRUE,"55+")</f>
        <v>25-34</v>
      </c>
      <c r="L299" t="str">
        <f>"Q"&amp;ROUNDUP(MONTH(Table1[[#This Row],[Date]])/3,0)</f>
        <v>Q2</v>
      </c>
    </row>
    <row r="300" spans="1:12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5">
        <v>500</v>
      </c>
      <c r="I300" s="5">
        <v>1000</v>
      </c>
      <c r="J300" s="2" t="str">
        <f>TEXT(Table1[[#This Row],[Date]],"mmm")</f>
        <v>Jul</v>
      </c>
      <c r="K300" t="str" cm="1">
        <f t="array" ref="K300">_xlfn.IFS(Table1[[#This Row],[Age]]&lt;25,"18-24",Table1[[#This Row],[Age]]&lt;35,"25-34",Table1[[#This Row],[Age]]&lt;45,"35-44",Table1[[#This Row],[Age]]&lt;55,"45-54",TRUE,"55+")</f>
        <v>55+</v>
      </c>
      <c r="L300" t="str">
        <f>"Q"&amp;ROUNDUP(MONTH(Table1[[#This Row],[Date]])/3,0)</f>
        <v>Q3</v>
      </c>
    </row>
    <row r="301" spans="1:12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5">
        <v>50</v>
      </c>
      <c r="I301" s="5">
        <v>200</v>
      </c>
      <c r="J301" s="2" t="str">
        <f>TEXT(Table1[[#This Row],[Date]],"mmm")</f>
        <v>Jan</v>
      </c>
      <c r="K301" t="str" cm="1">
        <f t="array" ref="K301">_xlfn.IFS(Table1[[#This Row],[Age]]&lt;25,"18-24",Table1[[#This Row],[Age]]&lt;35,"25-34",Table1[[#This Row],[Age]]&lt;45,"35-44",Table1[[#This Row],[Age]]&lt;55,"45-54",TRUE,"55+")</f>
        <v>18-24</v>
      </c>
      <c r="L301" t="str">
        <f>"Q"&amp;ROUNDUP(MONTH(Table1[[#This Row],[Date]])/3,0)</f>
        <v>Q1</v>
      </c>
    </row>
    <row r="302" spans="1:12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5">
        <v>30</v>
      </c>
      <c r="I302" s="5">
        <v>120</v>
      </c>
      <c r="J302" s="2" t="str">
        <f>TEXT(Table1[[#This Row],[Date]],"mmm")</f>
        <v>Mar</v>
      </c>
      <c r="K302" t="str" cm="1">
        <f t="array" ref="K302">_xlfn.IFS(Table1[[#This Row],[Age]]&lt;25,"18-24",Table1[[#This Row],[Age]]&lt;35,"25-34",Table1[[#This Row],[Age]]&lt;45,"35-44",Table1[[#This Row],[Age]]&lt;55,"45-54",TRUE,"55+")</f>
        <v>25-34</v>
      </c>
      <c r="L302" t="str">
        <f>"Q"&amp;ROUNDUP(MONTH(Table1[[#This Row],[Date]])/3,0)</f>
        <v>Q1</v>
      </c>
    </row>
    <row r="303" spans="1:12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5">
        <v>300</v>
      </c>
      <c r="I303" s="5">
        <v>600</v>
      </c>
      <c r="J303" s="2" t="str">
        <f>TEXT(Table1[[#This Row],[Date]],"mmm")</f>
        <v>Jul</v>
      </c>
      <c r="K303" t="str" cm="1">
        <f t="array" ref="K303">_xlfn.IFS(Table1[[#This Row],[Age]]&lt;25,"18-24",Table1[[#This Row],[Age]]&lt;35,"25-34",Table1[[#This Row],[Age]]&lt;45,"35-44",Table1[[#This Row],[Age]]&lt;55,"45-54",TRUE,"55+")</f>
        <v>55+</v>
      </c>
      <c r="L303" t="str">
        <f>"Q"&amp;ROUNDUP(MONTH(Table1[[#This Row],[Date]])/3,0)</f>
        <v>Q3</v>
      </c>
    </row>
    <row r="304" spans="1:12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5">
        <v>30</v>
      </c>
      <c r="I304" s="5">
        <v>90</v>
      </c>
      <c r="J304" s="2" t="str">
        <f>TEXT(Table1[[#This Row],[Date]],"mmm")</f>
        <v>Jan</v>
      </c>
      <c r="K304" t="str" cm="1">
        <f t="array" ref="K304">_xlfn.IFS(Table1[[#This Row],[Age]]&lt;25,"18-24",Table1[[#This Row],[Age]]&lt;35,"25-34",Table1[[#This Row],[Age]]&lt;45,"35-44",Table1[[#This Row],[Age]]&lt;55,"45-54",TRUE,"55+")</f>
        <v>18-24</v>
      </c>
      <c r="L304" t="str">
        <f>"Q"&amp;ROUNDUP(MONTH(Table1[[#This Row],[Date]])/3,0)</f>
        <v>Q1</v>
      </c>
    </row>
    <row r="305" spans="1:12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5">
        <v>30</v>
      </c>
      <c r="I305" s="5">
        <v>60</v>
      </c>
      <c r="J305" s="2" t="str">
        <f>TEXT(Table1[[#This Row],[Date]],"mmm")</f>
        <v>Jul</v>
      </c>
      <c r="K305" t="str" cm="1">
        <f t="array" ref="K305">_xlfn.IFS(Table1[[#This Row],[Age]]&lt;25,"18-24",Table1[[#This Row],[Age]]&lt;35,"25-34",Table1[[#This Row],[Age]]&lt;45,"35-44",Table1[[#This Row],[Age]]&lt;55,"45-54",TRUE,"55+")</f>
        <v>35-44</v>
      </c>
      <c r="L305" t="str">
        <f>"Q"&amp;ROUNDUP(MONTH(Table1[[#This Row],[Date]])/3,0)</f>
        <v>Q3</v>
      </c>
    </row>
    <row r="306" spans="1:12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5">
        <v>30</v>
      </c>
      <c r="I306" s="5">
        <v>30</v>
      </c>
      <c r="J306" s="2" t="str">
        <f>TEXT(Table1[[#This Row],[Date]],"mmm")</f>
        <v>May</v>
      </c>
      <c r="K306" t="str" cm="1">
        <f t="array" ref="K306">_xlfn.IFS(Table1[[#This Row],[Age]]&lt;25,"18-24",Table1[[#This Row],[Age]]&lt;35,"25-34",Table1[[#This Row],[Age]]&lt;45,"35-44",Table1[[#This Row],[Age]]&lt;55,"45-54",TRUE,"55+")</f>
        <v>18-24</v>
      </c>
      <c r="L306" t="str">
        <f>"Q"&amp;ROUNDUP(MONTH(Table1[[#This Row],[Date]])/3,0)</f>
        <v>Q2</v>
      </c>
    </row>
    <row r="307" spans="1:12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5">
        <v>50</v>
      </c>
      <c r="I307" s="5">
        <v>50</v>
      </c>
      <c r="J307" s="2" t="str">
        <f>TEXT(Table1[[#This Row],[Date]],"mmm")</f>
        <v>Aug</v>
      </c>
      <c r="K307" t="str" cm="1">
        <f t="array" ref="K307">_xlfn.IFS(Table1[[#This Row],[Age]]&lt;25,"18-24",Table1[[#This Row],[Age]]&lt;35,"25-34",Table1[[#This Row],[Age]]&lt;45,"35-44",Table1[[#This Row],[Age]]&lt;55,"45-54",TRUE,"55+")</f>
        <v>45-54</v>
      </c>
      <c r="L307" t="str">
        <f>"Q"&amp;ROUNDUP(MONTH(Table1[[#This Row],[Date]])/3,0)</f>
        <v>Q3</v>
      </c>
    </row>
    <row r="308" spans="1:12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5">
        <v>25</v>
      </c>
      <c r="I308" s="5">
        <v>50</v>
      </c>
      <c r="J308" s="2" t="str">
        <f>TEXT(Table1[[#This Row],[Date]],"mmm")</f>
        <v>May</v>
      </c>
      <c r="K308" t="str" cm="1">
        <f t="array" ref="K308">_xlfn.IFS(Table1[[#This Row],[Age]]&lt;25,"18-24",Table1[[#This Row],[Age]]&lt;35,"25-34",Table1[[#This Row],[Age]]&lt;45,"35-44",Table1[[#This Row],[Age]]&lt;55,"45-54",TRUE,"55+")</f>
        <v>25-34</v>
      </c>
      <c r="L308" t="str">
        <f>"Q"&amp;ROUNDUP(MONTH(Table1[[#This Row],[Date]])/3,0)</f>
        <v>Q2</v>
      </c>
    </row>
    <row r="309" spans="1:12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5">
        <v>300</v>
      </c>
      <c r="I309" s="5">
        <v>1200</v>
      </c>
      <c r="J309" s="2" t="str">
        <f>TEXT(Table1[[#This Row],[Date]],"mmm")</f>
        <v>Aug</v>
      </c>
      <c r="K309" t="str" cm="1">
        <f t="array" ref="K309">_xlfn.IFS(Table1[[#This Row],[Age]]&lt;25,"18-24",Table1[[#This Row],[Age]]&lt;35,"25-34",Table1[[#This Row],[Age]]&lt;45,"35-44",Table1[[#This Row],[Age]]&lt;55,"45-54",TRUE,"55+")</f>
        <v>25-34</v>
      </c>
      <c r="L309" t="str">
        <f>"Q"&amp;ROUNDUP(MONTH(Table1[[#This Row],[Date]])/3,0)</f>
        <v>Q3</v>
      </c>
    </row>
    <row r="310" spans="1:12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5">
        <v>25</v>
      </c>
      <c r="I310" s="5">
        <v>25</v>
      </c>
      <c r="J310" s="2" t="str">
        <f>TEXT(Table1[[#This Row],[Date]],"mmm")</f>
        <v>Dec</v>
      </c>
      <c r="K310" t="str" cm="1">
        <f t="array" ref="K310">_xlfn.IFS(Table1[[#This Row],[Age]]&lt;25,"18-24",Table1[[#This Row],[Age]]&lt;35,"25-34",Table1[[#This Row],[Age]]&lt;45,"35-44",Table1[[#This Row],[Age]]&lt;55,"45-54",TRUE,"55+")</f>
        <v>25-34</v>
      </c>
      <c r="L310" t="str">
        <f>"Q"&amp;ROUNDUP(MONTH(Table1[[#This Row],[Date]])/3,0)</f>
        <v>Q4</v>
      </c>
    </row>
    <row r="311" spans="1:12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5">
        <v>25</v>
      </c>
      <c r="I311" s="5">
        <v>25</v>
      </c>
      <c r="J311" s="2" t="str">
        <f>TEXT(Table1[[#This Row],[Date]],"mmm")</f>
        <v>Oct</v>
      </c>
      <c r="K311" t="str" cm="1">
        <f t="array" ref="K311">_xlfn.IFS(Table1[[#This Row],[Age]]&lt;25,"18-24",Table1[[#This Row],[Age]]&lt;35,"25-34",Table1[[#This Row],[Age]]&lt;45,"35-44",Table1[[#This Row],[Age]]&lt;55,"45-54",TRUE,"55+")</f>
        <v>25-34</v>
      </c>
      <c r="L311" t="str">
        <f>"Q"&amp;ROUNDUP(MONTH(Table1[[#This Row],[Date]])/3,0)</f>
        <v>Q4</v>
      </c>
    </row>
    <row r="312" spans="1:12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5">
        <v>25</v>
      </c>
      <c r="I312" s="5">
        <v>100</v>
      </c>
      <c r="J312" s="2" t="str">
        <f>TEXT(Table1[[#This Row],[Date]],"mmm")</f>
        <v>Dec</v>
      </c>
      <c r="K312" t="str" cm="1">
        <f t="array" ref="K312">_xlfn.IFS(Table1[[#This Row],[Age]]&lt;25,"18-24",Table1[[#This Row],[Age]]&lt;35,"25-34",Table1[[#This Row],[Age]]&lt;45,"35-44",Table1[[#This Row],[Age]]&lt;55,"45-54",TRUE,"55+")</f>
        <v>25-34</v>
      </c>
      <c r="L312" t="str">
        <f>"Q"&amp;ROUNDUP(MONTH(Table1[[#This Row],[Date]])/3,0)</f>
        <v>Q4</v>
      </c>
    </row>
    <row r="313" spans="1:12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5">
        <v>30</v>
      </c>
      <c r="I313" s="5">
        <v>120</v>
      </c>
      <c r="J313" s="2" t="str">
        <f>TEXT(Table1[[#This Row],[Date]],"mmm")</f>
        <v>Sep</v>
      </c>
      <c r="K313" t="str" cm="1">
        <f t="array" ref="K313">_xlfn.IFS(Table1[[#This Row],[Age]]&lt;25,"18-24",Table1[[#This Row],[Age]]&lt;35,"25-34",Table1[[#This Row],[Age]]&lt;45,"35-44",Table1[[#This Row],[Age]]&lt;55,"45-54",TRUE,"55+")</f>
        <v>35-44</v>
      </c>
      <c r="L313" t="str">
        <f>"Q"&amp;ROUNDUP(MONTH(Table1[[#This Row],[Date]])/3,0)</f>
        <v>Q3</v>
      </c>
    </row>
    <row r="314" spans="1:12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5">
        <v>500</v>
      </c>
      <c r="I314" s="5">
        <v>1500</v>
      </c>
      <c r="J314" s="2" t="str">
        <f>TEXT(Table1[[#This Row],[Date]],"mmm")</f>
        <v>Mar</v>
      </c>
      <c r="K314" t="str" cm="1">
        <f t="array" ref="K314">_xlfn.IFS(Table1[[#This Row],[Age]]&lt;25,"18-24",Table1[[#This Row],[Age]]&lt;35,"25-34",Table1[[#This Row],[Age]]&lt;45,"35-44",Table1[[#This Row],[Age]]&lt;55,"45-54",TRUE,"55+")</f>
        <v>55+</v>
      </c>
      <c r="L314" t="str">
        <f>"Q"&amp;ROUNDUP(MONTH(Table1[[#This Row],[Date]])/3,0)</f>
        <v>Q1</v>
      </c>
    </row>
    <row r="315" spans="1:12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5">
        <v>30</v>
      </c>
      <c r="I315" s="5">
        <v>120</v>
      </c>
      <c r="J315" s="2" t="str">
        <f>TEXT(Table1[[#This Row],[Date]],"mmm")</f>
        <v>Apr</v>
      </c>
      <c r="K315" t="str" cm="1">
        <f t="array" ref="K315">_xlfn.IFS(Table1[[#This Row],[Age]]&lt;25,"18-24",Table1[[#This Row],[Age]]&lt;35,"25-34",Table1[[#This Row],[Age]]&lt;45,"35-44",Table1[[#This Row],[Age]]&lt;55,"45-54",TRUE,"55+")</f>
        <v>45-54</v>
      </c>
      <c r="L315" t="str">
        <f>"Q"&amp;ROUNDUP(MONTH(Table1[[#This Row],[Date]])/3,0)</f>
        <v>Q2</v>
      </c>
    </row>
    <row r="316" spans="1:12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5">
        <v>30</v>
      </c>
      <c r="I316" s="5">
        <v>60</v>
      </c>
      <c r="J316" s="2" t="str">
        <f>TEXT(Table1[[#This Row],[Date]],"mmm")</f>
        <v>Jun</v>
      </c>
      <c r="K316" t="str" cm="1">
        <f t="array" ref="K316">_xlfn.IFS(Table1[[#This Row],[Age]]&lt;25,"18-24",Table1[[#This Row],[Age]]&lt;35,"25-34",Table1[[#This Row],[Age]]&lt;45,"35-44",Table1[[#This Row],[Age]]&lt;55,"45-54",TRUE,"55+")</f>
        <v>45-54</v>
      </c>
      <c r="L316" t="str">
        <f>"Q"&amp;ROUNDUP(MONTH(Table1[[#This Row],[Date]])/3,0)</f>
        <v>Q2</v>
      </c>
    </row>
    <row r="317" spans="1:12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5">
        <v>25</v>
      </c>
      <c r="I317" s="5">
        <v>50</v>
      </c>
      <c r="J317" s="2" t="str">
        <f>TEXT(Table1[[#This Row],[Date]],"mmm")</f>
        <v>Apr</v>
      </c>
      <c r="K317" t="str" cm="1">
        <f t="array" ref="K317">_xlfn.IFS(Table1[[#This Row],[Age]]&lt;25,"18-24",Table1[[#This Row],[Age]]&lt;35,"25-34",Table1[[#This Row],[Age]]&lt;45,"35-44",Table1[[#This Row],[Age]]&lt;55,"45-54",TRUE,"55+")</f>
        <v>45-54</v>
      </c>
      <c r="L317" t="str">
        <f>"Q"&amp;ROUNDUP(MONTH(Table1[[#This Row],[Date]])/3,0)</f>
        <v>Q2</v>
      </c>
    </row>
    <row r="318" spans="1:12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5">
        <v>30</v>
      </c>
      <c r="I318" s="5">
        <v>90</v>
      </c>
      <c r="J318" s="2" t="str">
        <f>TEXT(Table1[[#This Row],[Date]],"mmm")</f>
        <v>Jan</v>
      </c>
      <c r="K318" t="str" cm="1">
        <f t="array" ref="K318">_xlfn.IFS(Table1[[#This Row],[Age]]&lt;25,"18-24",Table1[[#This Row],[Age]]&lt;35,"25-34",Table1[[#This Row],[Age]]&lt;45,"35-44",Table1[[#This Row],[Age]]&lt;55,"45-54",TRUE,"55+")</f>
        <v>18-24</v>
      </c>
      <c r="L318" t="str">
        <f>"Q"&amp;ROUNDUP(MONTH(Table1[[#This Row],[Date]])/3,0)</f>
        <v>Q1</v>
      </c>
    </row>
    <row r="319" spans="1:12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5">
        <v>25</v>
      </c>
      <c r="I319" s="5">
        <v>25</v>
      </c>
      <c r="J319" s="2" t="str">
        <f>TEXT(Table1[[#This Row],[Date]],"mmm")</f>
        <v>Oct</v>
      </c>
      <c r="K319" t="str" cm="1">
        <f t="array" ref="K319">_xlfn.IFS(Table1[[#This Row],[Age]]&lt;25,"18-24",Table1[[#This Row],[Age]]&lt;35,"25-34",Table1[[#This Row],[Age]]&lt;45,"35-44",Table1[[#This Row],[Age]]&lt;55,"45-54",TRUE,"55+")</f>
        <v>55+</v>
      </c>
      <c r="L319" t="str">
        <f>"Q"&amp;ROUNDUP(MONTH(Table1[[#This Row],[Date]])/3,0)</f>
        <v>Q4</v>
      </c>
    </row>
    <row r="320" spans="1:12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5">
        <v>500</v>
      </c>
      <c r="I320" s="5">
        <v>500</v>
      </c>
      <c r="J320" s="2" t="str">
        <f>TEXT(Table1[[#This Row],[Date]],"mmm")</f>
        <v>Oct</v>
      </c>
      <c r="K320" t="str" cm="1">
        <f t="array" ref="K320">_xlfn.IFS(Table1[[#This Row],[Age]]&lt;25,"18-24",Table1[[#This Row],[Age]]&lt;35,"25-34",Table1[[#This Row],[Age]]&lt;45,"35-44",Table1[[#This Row],[Age]]&lt;55,"45-54",TRUE,"55+")</f>
        <v>25-34</v>
      </c>
      <c r="L320" t="str">
        <f>"Q"&amp;ROUNDUP(MONTH(Table1[[#This Row],[Date]])/3,0)</f>
        <v>Q4</v>
      </c>
    </row>
    <row r="321" spans="1:12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5">
        <v>300</v>
      </c>
      <c r="I321" s="5">
        <v>1200</v>
      </c>
      <c r="J321" s="2" t="str">
        <f>TEXT(Table1[[#This Row],[Date]],"mmm")</f>
        <v>Feb</v>
      </c>
      <c r="K321" t="str" cm="1">
        <f t="array" ref="K321">_xlfn.IFS(Table1[[#This Row],[Age]]&lt;25,"18-24",Table1[[#This Row],[Age]]&lt;35,"25-34",Table1[[#This Row],[Age]]&lt;45,"35-44",Table1[[#This Row],[Age]]&lt;55,"45-54",TRUE,"55+")</f>
        <v>25-34</v>
      </c>
      <c r="L321" t="str">
        <f>"Q"&amp;ROUNDUP(MONTH(Table1[[#This Row],[Date]])/3,0)</f>
        <v>Q1</v>
      </c>
    </row>
    <row r="322" spans="1:12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5">
        <v>25</v>
      </c>
      <c r="I322" s="5">
        <v>50</v>
      </c>
      <c r="J322" s="2" t="str">
        <f>TEXT(Table1[[#This Row],[Date]],"mmm")</f>
        <v>Jun</v>
      </c>
      <c r="K322" t="str" cm="1">
        <f t="array" ref="K322">_xlfn.IFS(Table1[[#This Row],[Age]]&lt;25,"18-24",Table1[[#This Row],[Age]]&lt;35,"25-34",Table1[[#This Row],[Age]]&lt;45,"35-44",Table1[[#This Row],[Age]]&lt;55,"45-54",TRUE,"55+")</f>
        <v>25-34</v>
      </c>
      <c r="L322" t="str">
        <f>"Q"&amp;ROUNDUP(MONTH(Table1[[#This Row],[Date]])/3,0)</f>
        <v>Q2</v>
      </c>
    </row>
    <row r="323" spans="1:12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5">
        <v>500</v>
      </c>
      <c r="I323" s="5">
        <v>500</v>
      </c>
      <c r="J323" s="2" t="str">
        <f>TEXT(Table1[[#This Row],[Date]],"mmm")</f>
        <v>Jan</v>
      </c>
      <c r="K323" t="str" cm="1">
        <f t="array" ref="K323">_xlfn.IFS(Table1[[#This Row],[Age]]&lt;25,"18-24",Table1[[#This Row],[Age]]&lt;35,"25-34",Table1[[#This Row],[Age]]&lt;45,"35-44",Table1[[#This Row],[Age]]&lt;55,"45-54",TRUE,"55+")</f>
        <v>45-54</v>
      </c>
      <c r="L323" t="str">
        <f>"Q"&amp;ROUNDUP(MONTH(Table1[[#This Row],[Date]])/3,0)</f>
        <v>Q1</v>
      </c>
    </row>
    <row r="324" spans="1:12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5">
        <v>300</v>
      </c>
      <c r="I324" s="5">
        <v>900</v>
      </c>
      <c r="J324" s="2" t="str">
        <f>TEXT(Table1[[#This Row],[Date]],"mmm")</f>
        <v>Jan</v>
      </c>
      <c r="K324" t="str" cm="1">
        <f t="array" ref="K324">_xlfn.IFS(Table1[[#This Row],[Age]]&lt;25,"18-24",Table1[[#This Row],[Age]]&lt;35,"25-34",Table1[[#This Row],[Age]]&lt;45,"35-44",Table1[[#This Row],[Age]]&lt;55,"45-54",TRUE,"55+")</f>
        <v>25-34</v>
      </c>
      <c r="L324" t="str">
        <f>"Q"&amp;ROUNDUP(MONTH(Table1[[#This Row],[Date]])/3,0)</f>
        <v>Q1</v>
      </c>
    </row>
    <row r="325" spans="1:12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5">
        <v>50</v>
      </c>
      <c r="I325" s="5">
        <v>150</v>
      </c>
      <c r="J325" s="2" t="str">
        <f>TEXT(Table1[[#This Row],[Date]],"mmm")</f>
        <v>Oct</v>
      </c>
      <c r="K325" t="str" cm="1">
        <f t="array" ref="K325">_xlfn.IFS(Table1[[#This Row],[Age]]&lt;25,"18-24",Table1[[#This Row],[Age]]&lt;35,"25-34",Table1[[#This Row],[Age]]&lt;45,"35-44",Table1[[#This Row],[Age]]&lt;55,"45-54",TRUE,"55+")</f>
        <v>45-54</v>
      </c>
      <c r="L325" t="str">
        <f>"Q"&amp;ROUNDUP(MONTH(Table1[[#This Row],[Date]])/3,0)</f>
        <v>Q4</v>
      </c>
    </row>
    <row r="326" spans="1:12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5">
        <v>25</v>
      </c>
      <c r="I326" s="5">
        <v>50</v>
      </c>
      <c r="J326" s="2" t="str">
        <f>TEXT(Table1[[#This Row],[Date]],"mmm")</f>
        <v>Sep</v>
      </c>
      <c r="K326" t="str" cm="1">
        <f t="array" ref="K326">_xlfn.IFS(Table1[[#This Row],[Age]]&lt;25,"18-24",Table1[[#This Row],[Age]]&lt;35,"25-34",Table1[[#This Row],[Age]]&lt;45,"35-44",Table1[[#This Row],[Age]]&lt;55,"45-54",TRUE,"55+")</f>
        <v>45-54</v>
      </c>
      <c r="L326" t="str">
        <f>"Q"&amp;ROUNDUP(MONTH(Table1[[#This Row],[Date]])/3,0)</f>
        <v>Q3</v>
      </c>
    </row>
    <row r="327" spans="1:12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5">
        <v>25</v>
      </c>
      <c r="I327" s="5">
        <v>75</v>
      </c>
      <c r="J327" s="2" t="str">
        <f>TEXT(Table1[[#This Row],[Date]],"mmm")</f>
        <v>Sep</v>
      </c>
      <c r="K327" t="str" cm="1">
        <f t="array" ref="K327">_xlfn.IFS(Table1[[#This Row],[Age]]&lt;25,"18-24",Table1[[#This Row],[Age]]&lt;35,"25-34",Table1[[#This Row],[Age]]&lt;45,"35-44",Table1[[#This Row],[Age]]&lt;55,"45-54",TRUE,"55+")</f>
        <v>18-24</v>
      </c>
      <c r="L327" t="str">
        <f>"Q"&amp;ROUNDUP(MONTH(Table1[[#This Row],[Date]])/3,0)</f>
        <v>Q3</v>
      </c>
    </row>
    <row r="328" spans="1:12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5">
        <v>50</v>
      </c>
      <c r="I328" s="5">
        <v>150</v>
      </c>
      <c r="J328" s="2" t="str">
        <f>TEXT(Table1[[#This Row],[Date]],"mmm")</f>
        <v>Sep</v>
      </c>
      <c r="K328" t="str" cm="1">
        <f t="array" ref="K328">_xlfn.IFS(Table1[[#This Row],[Age]]&lt;25,"18-24",Table1[[#This Row],[Age]]&lt;35,"25-34",Table1[[#This Row],[Age]]&lt;45,"35-44",Table1[[#This Row],[Age]]&lt;55,"45-54",TRUE,"55+")</f>
        <v>55+</v>
      </c>
      <c r="L328" t="str">
        <f>"Q"&amp;ROUNDUP(MONTH(Table1[[#This Row],[Date]])/3,0)</f>
        <v>Q3</v>
      </c>
    </row>
    <row r="329" spans="1:12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5">
        <v>50</v>
      </c>
      <c r="I329" s="5">
        <v>100</v>
      </c>
      <c r="J329" s="2" t="str">
        <f>TEXT(Table1[[#This Row],[Date]],"mmm")</f>
        <v>Mar</v>
      </c>
      <c r="K329" t="str" cm="1">
        <f t="array" ref="K329">_xlfn.IFS(Table1[[#This Row],[Age]]&lt;25,"18-24",Table1[[#This Row],[Age]]&lt;35,"25-34",Table1[[#This Row],[Age]]&lt;45,"35-44",Table1[[#This Row],[Age]]&lt;55,"45-54",TRUE,"55+")</f>
        <v>35-44</v>
      </c>
      <c r="L329" t="str">
        <f>"Q"&amp;ROUNDUP(MONTH(Table1[[#This Row],[Date]])/3,0)</f>
        <v>Q1</v>
      </c>
    </row>
    <row r="330" spans="1:12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5">
        <v>25</v>
      </c>
      <c r="I330" s="5">
        <v>100</v>
      </c>
      <c r="J330" s="2" t="str">
        <f>TEXT(Table1[[#This Row],[Date]],"mmm")</f>
        <v>Jan</v>
      </c>
      <c r="K330" t="str" cm="1">
        <f t="array" ref="K330">_xlfn.IFS(Table1[[#This Row],[Age]]&lt;25,"18-24",Table1[[#This Row],[Age]]&lt;35,"25-34",Table1[[#This Row],[Age]]&lt;45,"35-44",Table1[[#This Row],[Age]]&lt;55,"45-54",TRUE,"55+")</f>
        <v>45-54</v>
      </c>
      <c r="L330" t="str">
        <f>"Q"&amp;ROUNDUP(MONTH(Table1[[#This Row],[Date]])/3,0)</f>
        <v>Q1</v>
      </c>
    </row>
    <row r="331" spans="1:12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5">
        <v>50</v>
      </c>
      <c r="I331" s="5">
        <v>200</v>
      </c>
      <c r="J331" s="2" t="str">
        <f>TEXT(Table1[[#This Row],[Date]],"mmm")</f>
        <v>Sep</v>
      </c>
      <c r="K331" t="str" cm="1">
        <f t="array" ref="K331">_xlfn.IFS(Table1[[#This Row],[Age]]&lt;25,"18-24",Table1[[#This Row],[Age]]&lt;35,"25-34",Table1[[#This Row],[Age]]&lt;45,"35-44",Table1[[#This Row],[Age]]&lt;55,"45-54",TRUE,"55+")</f>
        <v>25-34</v>
      </c>
      <c r="L331" t="str">
        <f>"Q"&amp;ROUNDUP(MONTH(Table1[[#This Row],[Date]])/3,0)</f>
        <v>Q3</v>
      </c>
    </row>
    <row r="332" spans="1:12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5">
        <v>30</v>
      </c>
      <c r="I332" s="5">
        <v>90</v>
      </c>
      <c r="J332" s="2" t="str">
        <f>TEXT(Table1[[#This Row],[Date]],"mmm")</f>
        <v>Feb</v>
      </c>
      <c r="K332" t="str" cm="1">
        <f t="array" ref="K332">_xlfn.IFS(Table1[[#This Row],[Age]]&lt;25,"18-24",Table1[[#This Row],[Age]]&lt;35,"25-34",Table1[[#This Row],[Age]]&lt;45,"35-44",Table1[[#This Row],[Age]]&lt;55,"45-54",TRUE,"55+")</f>
        <v>25-34</v>
      </c>
      <c r="L332" t="str">
        <f>"Q"&amp;ROUNDUP(MONTH(Table1[[#This Row],[Date]])/3,0)</f>
        <v>Q1</v>
      </c>
    </row>
    <row r="333" spans="1:12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5">
        <v>300</v>
      </c>
      <c r="I333" s="5">
        <v>1200</v>
      </c>
      <c r="J333" s="2" t="str">
        <f>TEXT(Table1[[#This Row],[Date]],"mmm")</f>
        <v>Apr</v>
      </c>
      <c r="K333" t="str" cm="1">
        <f t="array" ref="K333">_xlfn.IFS(Table1[[#This Row],[Age]]&lt;25,"18-24",Table1[[#This Row],[Age]]&lt;35,"25-34",Table1[[#This Row],[Age]]&lt;45,"35-44",Table1[[#This Row],[Age]]&lt;55,"45-54",TRUE,"55+")</f>
        <v>55+</v>
      </c>
      <c r="L333" t="str">
        <f>"Q"&amp;ROUNDUP(MONTH(Table1[[#This Row],[Date]])/3,0)</f>
        <v>Q2</v>
      </c>
    </row>
    <row r="334" spans="1:12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5">
        <v>300</v>
      </c>
      <c r="I334" s="5">
        <v>1200</v>
      </c>
      <c r="J334" s="2" t="str">
        <f>TEXT(Table1[[#This Row],[Date]],"mmm")</f>
        <v>Feb</v>
      </c>
      <c r="K334" t="str" cm="1">
        <f t="array" ref="K334">_xlfn.IFS(Table1[[#This Row],[Age]]&lt;25,"18-24",Table1[[#This Row],[Age]]&lt;35,"25-34",Table1[[#This Row],[Age]]&lt;45,"35-44",Table1[[#This Row],[Age]]&lt;55,"45-54",TRUE,"55+")</f>
        <v>45-54</v>
      </c>
      <c r="L334" t="str">
        <f>"Q"&amp;ROUNDUP(MONTH(Table1[[#This Row],[Date]])/3,0)</f>
        <v>Q1</v>
      </c>
    </row>
    <row r="335" spans="1:12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5">
        <v>300</v>
      </c>
      <c r="I335" s="5">
        <v>900</v>
      </c>
      <c r="J335" s="2" t="str">
        <f>TEXT(Table1[[#This Row],[Date]],"mmm")</f>
        <v>Nov</v>
      </c>
      <c r="K335" t="str" cm="1">
        <f t="array" ref="K335">_xlfn.IFS(Table1[[#This Row],[Age]]&lt;25,"18-24",Table1[[#This Row],[Age]]&lt;35,"25-34",Table1[[#This Row],[Age]]&lt;45,"35-44",Table1[[#This Row],[Age]]&lt;55,"45-54",TRUE,"55+")</f>
        <v>25-34</v>
      </c>
      <c r="L335" t="str">
        <f>"Q"&amp;ROUNDUP(MONTH(Table1[[#This Row],[Date]])/3,0)</f>
        <v>Q4</v>
      </c>
    </row>
    <row r="336" spans="1:12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5">
        <v>30</v>
      </c>
      <c r="I336" s="5">
        <v>120</v>
      </c>
      <c r="J336" s="2" t="str">
        <f>TEXT(Table1[[#This Row],[Date]],"mmm")</f>
        <v>Feb</v>
      </c>
      <c r="K336" t="str" cm="1">
        <f t="array" ref="K336">_xlfn.IFS(Table1[[#This Row],[Age]]&lt;25,"18-24",Table1[[#This Row],[Age]]&lt;35,"25-34",Table1[[#This Row],[Age]]&lt;45,"35-44",Table1[[#This Row],[Age]]&lt;55,"45-54",TRUE,"55+")</f>
        <v>45-54</v>
      </c>
      <c r="L336" t="str">
        <f>"Q"&amp;ROUNDUP(MONTH(Table1[[#This Row],[Date]])/3,0)</f>
        <v>Q1</v>
      </c>
    </row>
    <row r="337" spans="1:12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5">
        <v>50</v>
      </c>
      <c r="I337" s="5">
        <v>150</v>
      </c>
      <c r="J337" s="2" t="str">
        <f>TEXT(Table1[[#This Row],[Date]],"mmm")</f>
        <v>Dec</v>
      </c>
      <c r="K337" t="str" cm="1">
        <f t="array" ref="K337">_xlfn.IFS(Table1[[#This Row],[Age]]&lt;25,"18-24",Table1[[#This Row],[Age]]&lt;35,"25-34",Table1[[#This Row],[Age]]&lt;45,"35-44",Table1[[#This Row],[Age]]&lt;55,"45-54",TRUE,"55+")</f>
        <v>45-54</v>
      </c>
      <c r="L337" t="str">
        <f>"Q"&amp;ROUNDUP(MONTH(Table1[[#This Row],[Date]])/3,0)</f>
        <v>Q4</v>
      </c>
    </row>
    <row r="338" spans="1:12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5">
        <v>500</v>
      </c>
      <c r="I338" s="5">
        <v>500</v>
      </c>
      <c r="J338" s="2" t="str">
        <f>TEXT(Table1[[#This Row],[Date]],"mmm")</f>
        <v>May</v>
      </c>
      <c r="K338" t="str" cm="1">
        <f t="array" ref="K338">_xlfn.IFS(Table1[[#This Row],[Age]]&lt;25,"18-24",Table1[[#This Row],[Age]]&lt;35,"25-34",Table1[[#This Row],[Age]]&lt;45,"35-44",Table1[[#This Row],[Age]]&lt;55,"45-54",TRUE,"55+")</f>
        <v>35-44</v>
      </c>
      <c r="L338" t="str">
        <f>"Q"&amp;ROUNDUP(MONTH(Table1[[#This Row],[Date]])/3,0)</f>
        <v>Q2</v>
      </c>
    </row>
    <row r="339" spans="1:12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5">
        <v>50</v>
      </c>
      <c r="I339" s="5">
        <v>100</v>
      </c>
      <c r="J339" s="2" t="str">
        <f>TEXT(Table1[[#This Row],[Date]],"mmm")</f>
        <v>Jul</v>
      </c>
      <c r="K339" t="str" cm="1">
        <f t="array" ref="K339">_xlfn.IFS(Table1[[#This Row],[Age]]&lt;25,"18-24",Table1[[#This Row],[Age]]&lt;35,"25-34",Table1[[#This Row],[Age]]&lt;45,"35-44",Table1[[#This Row],[Age]]&lt;55,"45-54",TRUE,"55+")</f>
        <v>45-54</v>
      </c>
      <c r="L339" t="str">
        <f>"Q"&amp;ROUNDUP(MONTH(Table1[[#This Row],[Date]])/3,0)</f>
        <v>Q3</v>
      </c>
    </row>
    <row r="340" spans="1:12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5">
        <v>25</v>
      </c>
      <c r="I340" s="5">
        <v>50</v>
      </c>
      <c r="J340" s="2" t="str">
        <f>TEXT(Table1[[#This Row],[Date]],"mmm")</f>
        <v>Mar</v>
      </c>
      <c r="K340" t="str" cm="1">
        <f t="array" ref="K340">_xlfn.IFS(Table1[[#This Row],[Age]]&lt;25,"18-24",Table1[[#This Row],[Age]]&lt;35,"25-34",Table1[[#This Row],[Age]]&lt;45,"35-44",Table1[[#This Row],[Age]]&lt;55,"45-54",TRUE,"55+")</f>
        <v>18-24</v>
      </c>
      <c r="L340" t="str">
        <f>"Q"&amp;ROUNDUP(MONTH(Table1[[#This Row],[Date]])/3,0)</f>
        <v>Q1</v>
      </c>
    </row>
    <row r="341" spans="1:12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5">
        <v>300</v>
      </c>
      <c r="I341" s="5">
        <v>1200</v>
      </c>
      <c r="J341" s="2" t="str">
        <f>TEXT(Table1[[#This Row],[Date]],"mmm")</f>
        <v>Oct</v>
      </c>
      <c r="K341" t="str" cm="1">
        <f t="array" ref="K341">_xlfn.IFS(Table1[[#This Row],[Age]]&lt;25,"18-24",Table1[[#This Row],[Age]]&lt;35,"25-34",Table1[[#This Row],[Age]]&lt;45,"35-44",Table1[[#This Row],[Age]]&lt;55,"45-54",TRUE,"55+")</f>
        <v>35-44</v>
      </c>
      <c r="L341" t="str">
        <f>"Q"&amp;ROUNDUP(MONTH(Table1[[#This Row],[Date]])/3,0)</f>
        <v>Q4</v>
      </c>
    </row>
    <row r="342" spans="1:12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5">
        <v>50</v>
      </c>
      <c r="I342" s="5">
        <v>200</v>
      </c>
      <c r="J342" s="2" t="str">
        <f>TEXT(Table1[[#This Row],[Date]],"mmm")</f>
        <v>May</v>
      </c>
      <c r="K342" t="str" cm="1">
        <f t="array" ref="K342">_xlfn.IFS(Table1[[#This Row],[Age]]&lt;25,"18-24",Table1[[#This Row],[Age]]&lt;35,"25-34",Table1[[#This Row],[Age]]&lt;45,"35-44",Table1[[#This Row],[Age]]&lt;55,"45-54",TRUE,"55+")</f>
        <v>25-34</v>
      </c>
      <c r="L342" t="str">
        <f>"Q"&amp;ROUNDUP(MONTH(Table1[[#This Row],[Date]])/3,0)</f>
        <v>Q2</v>
      </c>
    </row>
    <row r="343" spans="1:12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5">
        <v>500</v>
      </c>
      <c r="I343" s="5">
        <v>2000</v>
      </c>
      <c r="J343" s="2" t="str">
        <f>TEXT(Table1[[#This Row],[Date]],"mmm")</f>
        <v>Oct</v>
      </c>
      <c r="K343" t="str" cm="1">
        <f t="array" ref="K343">_xlfn.IFS(Table1[[#This Row],[Age]]&lt;25,"18-24",Table1[[#This Row],[Age]]&lt;35,"25-34",Table1[[#This Row],[Age]]&lt;45,"35-44",Table1[[#This Row],[Age]]&lt;55,"45-54",TRUE,"55+")</f>
        <v>35-44</v>
      </c>
      <c r="L343" t="str">
        <f>"Q"&amp;ROUNDUP(MONTH(Table1[[#This Row],[Date]])/3,0)</f>
        <v>Q4</v>
      </c>
    </row>
    <row r="344" spans="1:12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5">
        <v>25</v>
      </c>
      <c r="I344" s="5">
        <v>50</v>
      </c>
      <c r="J344" s="2" t="str">
        <f>TEXT(Table1[[#This Row],[Date]],"mmm")</f>
        <v>Nov</v>
      </c>
      <c r="K344" t="str" cm="1">
        <f t="array" ref="K344">_xlfn.IFS(Table1[[#This Row],[Age]]&lt;25,"18-24",Table1[[#This Row],[Age]]&lt;35,"25-34",Table1[[#This Row],[Age]]&lt;45,"35-44",Table1[[#This Row],[Age]]&lt;55,"45-54",TRUE,"55+")</f>
        <v>18-24</v>
      </c>
      <c r="L344" t="str">
        <f>"Q"&amp;ROUNDUP(MONTH(Table1[[#This Row],[Date]])/3,0)</f>
        <v>Q4</v>
      </c>
    </row>
    <row r="345" spans="1:12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5">
        <v>30</v>
      </c>
      <c r="I345" s="5">
        <v>30</v>
      </c>
      <c r="J345" s="2" t="str">
        <f>TEXT(Table1[[#This Row],[Date]],"mmm")</f>
        <v>Jan</v>
      </c>
      <c r="K345" t="str" cm="1">
        <f t="array" ref="K345">_xlfn.IFS(Table1[[#This Row],[Age]]&lt;25,"18-24",Table1[[#This Row],[Age]]&lt;35,"25-34",Table1[[#This Row],[Age]]&lt;45,"35-44",Table1[[#This Row],[Age]]&lt;55,"45-54",TRUE,"55+")</f>
        <v>35-44</v>
      </c>
      <c r="L345" t="str">
        <f>"Q"&amp;ROUNDUP(MONTH(Table1[[#This Row],[Date]])/3,0)</f>
        <v>Q1</v>
      </c>
    </row>
    <row r="346" spans="1:12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5">
        <v>30</v>
      </c>
      <c r="I346" s="5">
        <v>30</v>
      </c>
      <c r="J346" s="2" t="str">
        <f>TEXT(Table1[[#This Row],[Date]],"mmm")</f>
        <v>Nov</v>
      </c>
      <c r="K346" t="str" cm="1">
        <f t="array" ref="K346">_xlfn.IFS(Table1[[#This Row],[Age]]&lt;25,"18-24",Table1[[#This Row],[Age]]&lt;35,"25-34",Table1[[#This Row],[Age]]&lt;45,"35-44",Table1[[#This Row],[Age]]&lt;55,"45-54",TRUE,"55+")</f>
        <v>55+</v>
      </c>
      <c r="L346" t="str">
        <f>"Q"&amp;ROUNDUP(MONTH(Table1[[#This Row],[Date]])/3,0)</f>
        <v>Q4</v>
      </c>
    </row>
    <row r="347" spans="1:12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5">
        <v>500</v>
      </c>
      <c r="I347" s="5">
        <v>1000</v>
      </c>
      <c r="J347" s="2" t="str">
        <f>TEXT(Table1[[#This Row],[Date]],"mmm")</f>
        <v>Feb</v>
      </c>
      <c r="K347" t="str" cm="1">
        <f t="array" ref="K347">_xlfn.IFS(Table1[[#This Row],[Age]]&lt;25,"18-24",Table1[[#This Row],[Age]]&lt;35,"25-34",Table1[[#This Row],[Age]]&lt;45,"35-44",Table1[[#This Row],[Age]]&lt;55,"45-54",TRUE,"55+")</f>
        <v>55+</v>
      </c>
      <c r="L347" t="str">
        <f>"Q"&amp;ROUNDUP(MONTH(Table1[[#This Row],[Date]])/3,0)</f>
        <v>Q1</v>
      </c>
    </row>
    <row r="348" spans="1:12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5">
        <v>25</v>
      </c>
      <c r="I348" s="5">
        <v>25</v>
      </c>
      <c r="J348" s="2" t="str">
        <f>TEXT(Table1[[#This Row],[Date]],"mmm")</f>
        <v>Aug</v>
      </c>
      <c r="K348" t="str" cm="1">
        <f t="array" ref="K348">_xlfn.IFS(Table1[[#This Row],[Age]]&lt;25,"18-24",Table1[[#This Row],[Age]]&lt;35,"25-34",Table1[[#This Row],[Age]]&lt;45,"35-44",Table1[[#This Row],[Age]]&lt;55,"45-54",TRUE,"55+")</f>
        <v>35-44</v>
      </c>
      <c r="L348" t="str">
        <f>"Q"&amp;ROUNDUP(MONTH(Table1[[#This Row],[Date]])/3,0)</f>
        <v>Q3</v>
      </c>
    </row>
    <row r="349" spans="1:12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5">
        <v>300</v>
      </c>
      <c r="I349" s="5">
        <v>600</v>
      </c>
      <c r="J349" s="2" t="str">
        <f>TEXT(Table1[[#This Row],[Date]],"mmm")</f>
        <v>Dec</v>
      </c>
      <c r="K349" t="str" cm="1">
        <f t="array" ref="K349">_xlfn.IFS(Table1[[#This Row],[Age]]&lt;25,"18-24",Table1[[#This Row],[Age]]&lt;35,"25-34",Table1[[#This Row],[Age]]&lt;45,"35-44",Table1[[#This Row],[Age]]&lt;55,"45-54",TRUE,"55+")</f>
        <v>35-44</v>
      </c>
      <c r="L349" t="str">
        <f>"Q"&amp;ROUNDUP(MONTH(Table1[[#This Row],[Date]])/3,0)</f>
        <v>Q4</v>
      </c>
    </row>
    <row r="350" spans="1:12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5">
        <v>50</v>
      </c>
      <c r="I350" s="5">
        <v>50</v>
      </c>
      <c r="J350" s="2" t="str">
        <f>TEXT(Table1[[#This Row],[Date]],"mmm")</f>
        <v>Oct</v>
      </c>
      <c r="K350" t="str" cm="1">
        <f t="array" ref="K350">_xlfn.IFS(Table1[[#This Row],[Age]]&lt;25,"18-24",Table1[[#This Row],[Age]]&lt;35,"25-34",Table1[[#This Row],[Age]]&lt;45,"35-44",Table1[[#This Row],[Age]]&lt;55,"45-54",TRUE,"55+")</f>
        <v>55+</v>
      </c>
      <c r="L350" t="str">
        <f>"Q"&amp;ROUNDUP(MONTH(Table1[[#This Row],[Date]])/3,0)</f>
        <v>Q4</v>
      </c>
    </row>
    <row r="351" spans="1:12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5">
        <v>25</v>
      </c>
      <c r="I351" s="5">
        <v>75</v>
      </c>
      <c r="J351" s="2" t="str">
        <f>TEXT(Table1[[#This Row],[Date]],"mmm")</f>
        <v>Oct</v>
      </c>
      <c r="K351" t="str" cm="1">
        <f t="array" ref="K351">_xlfn.IFS(Table1[[#This Row],[Age]]&lt;25,"18-24",Table1[[#This Row],[Age]]&lt;35,"25-34",Table1[[#This Row],[Age]]&lt;45,"35-44",Table1[[#This Row],[Age]]&lt;55,"45-54",TRUE,"55+")</f>
        <v>25-34</v>
      </c>
      <c r="L351" t="str">
        <f>"Q"&amp;ROUNDUP(MONTH(Table1[[#This Row],[Date]])/3,0)</f>
        <v>Q4</v>
      </c>
    </row>
    <row r="352" spans="1:12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5">
        <v>30</v>
      </c>
      <c r="I352" s="5">
        <v>90</v>
      </c>
      <c r="J352" s="2" t="str">
        <f>TEXT(Table1[[#This Row],[Date]],"mmm")</f>
        <v>Sep</v>
      </c>
      <c r="K352" t="str" cm="1">
        <f t="array" ref="K352">_xlfn.IFS(Table1[[#This Row],[Age]]&lt;25,"18-24",Table1[[#This Row],[Age]]&lt;35,"25-34",Table1[[#This Row],[Age]]&lt;45,"35-44",Table1[[#This Row],[Age]]&lt;55,"45-54",TRUE,"55+")</f>
        <v>55+</v>
      </c>
      <c r="L352" t="str">
        <f>"Q"&amp;ROUNDUP(MONTH(Table1[[#This Row],[Date]])/3,0)</f>
        <v>Q3</v>
      </c>
    </row>
    <row r="353" spans="1:12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5">
        <v>500</v>
      </c>
      <c r="I353" s="5">
        <v>1000</v>
      </c>
      <c r="J353" s="2" t="str">
        <f>TEXT(Table1[[#This Row],[Date]],"mmm")</f>
        <v>Jun</v>
      </c>
      <c r="K353" t="str" cm="1">
        <f t="array" ref="K353">_xlfn.IFS(Table1[[#This Row],[Age]]&lt;25,"18-24",Table1[[#This Row],[Age]]&lt;35,"25-34",Table1[[#This Row],[Age]]&lt;45,"35-44",Table1[[#This Row],[Age]]&lt;55,"45-54",TRUE,"55+")</f>
        <v>55+</v>
      </c>
      <c r="L353" t="str">
        <f>"Q"&amp;ROUNDUP(MONTH(Table1[[#This Row],[Date]])/3,0)</f>
        <v>Q2</v>
      </c>
    </row>
    <row r="354" spans="1:12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5">
        <v>500</v>
      </c>
      <c r="I354" s="5">
        <v>500</v>
      </c>
      <c r="J354" s="2" t="str">
        <f>TEXT(Table1[[#This Row],[Date]],"mmm")</f>
        <v>May</v>
      </c>
      <c r="K354" t="str" cm="1">
        <f t="array" ref="K354">_xlfn.IFS(Table1[[#This Row],[Age]]&lt;25,"18-24",Table1[[#This Row],[Age]]&lt;35,"25-34",Table1[[#This Row],[Age]]&lt;45,"35-44",Table1[[#This Row],[Age]]&lt;55,"45-54",TRUE,"55+")</f>
        <v>25-34</v>
      </c>
      <c r="L354" t="str">
        <f>"Q"&amp;ROUNDUP(MONTH(Table1[[#This Row],[Date]])/3,0)</f>
        <v>Q2</v>
      </c>
    </row>
    <row r="355" spans="1:12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5">
        <v>50</v>
      </c>
      <c r="I355" s="5">
        <v>200</v>
      </c>
      <c r="J355" s="2" t="str">
        <f>TEXT(Table1[[#This Row],[Date]],"mmm")</f>
        <v>Apr</v>
      </c>
      <c r="K355" t="str" cm="1">
        <f t="array" ref="K355">_xlfn.IFS(Table1[[#This Row],[Age]]&lt;25,"18-24",Table1[[#This Row],[Age]]&lt;35,"25-34",Table1[[#This Row],[Age]]&lt;45,"35-44",Table1[[#This Row],[Age]]&lt;55,"45-54",TRUE,"55+")</f>
        <v>45-54</v>
      </c>
      <c r="L355" t="str">
        <f>"Q"&amp;ROUNDUP(MONTH(Table1[[#This Row],[Date]])/3,0)</f>
        <v>Q2</v>
      </c>
    </row>
    <row r="356" spans="1:12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5">
        <v>500</v>
      </c>
      <c r="I356" s="5">
        <v>500</v>
      </c>
      <c r="J356" s="2" t="str">
        <f>TEXT(Table1[[#This Row],[Date]],"mmm")</f>
        <v>Dec</v>
      </c>
      <c r="K356" t="str" cm="1">
        <f t="array" ref="K356">_xlfn.IFS(Table1[[#This Row],[Age]]&lt;25,"18-24",Table1[[#This Row],[Age]]&lt;35,"25-34",Table1[[#This Row],[Age]]&lt;45,"35-44",Table1[[#This Row],[Age]]&lt;55,"45-54",TRUE,"55+")</f>
        <v>55+</v>
      </c>
      <c r="L356" t="str">
        <f>"Q"&amp;ROUNDUP(MONTH(Table1[[#This Row],[Date]])/3,0)</f>
        <v>Q4</v>
      </c>
    </row>
    <row r="357" spans="1:12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5">
        <v>500</v>
      </c>
      <c r="I357" s="5">
        <v>1500</v>
      </c>
      <c r="J357" s="2" t="str">
        <f>TEXT(Table1[[#This Row],[Date]],"mmm")</f>
        <v>Jun</v>
      </c>
      <c r="K357" t="str" cm="1">
        <f t="array" ref="K357">_xlfn.IFS(Table1[[#This Row],[Age]]&lt;25,"18-24",Table1[[#This Row],[Age]]&lt;35,"25-34",Table1[[#This Row],[Age]]&lt;45,"35-44",Table1[[#This Row],[Age]]&lt;55,"45-54",TRUE,"55+")</f>
        <v>45-54</v>
      </c>
      <c r="L357" t="str">
        <f>"Q"&amp;ROUNDUP(MONTH(Table1[[#This Row],[Date]])/3,0)</f>
        <v>Q2</v>
      </c>
    </row>
    <row r="358" spans="1:12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5">
        <v>25</v>
      </c>
      <c r="I358" s="5">
        <v>75</v>
      </c>
      <c r="J358" s="2" t="str">
        <f>TEXT(Table1[[#This Row],[Date]],"mmm")</f>
        <v>May</v>
      </c>
      <c r="K358" t="str" cm="1">
        <f t="array" ref="K358">_xlfn.IFS(Table1[[#This Row],[Age]]&lt;25,"18-24",Table1[[#This Row],[Age]]&lt;35,"25-34",Table1[[#This Row],[Age]]&lt;45,"35-44",Table1[[#This Row],[Age]]&lt;55,"45-54",TRUE,"55+")</f>
        <v>35-44</v>
      </c>
      <c r="L358" t="str">
        <f>"Q"&amp;ROUNDUP(MONTH(Table1[[#This Row],[Date]])/3,0)</f>
        <v>Q2</v>
      </c>
    </row>
    <row r="359" spans="1:12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5">
        <v>300</v>
      </c>
      <c r="I359" s="5">
        <v>300</v>
      </c>
      <c r="J359" s="2" t="str">
        <f>TEXT(Table1[[#This Row],[Date]],"mmm")</f>
        <v>May</v>
      </c>
      <c r="K359" t="str" cm="1">
        <f t="array" ref="K359">_xlfn.IFS(Table1[[#This Row],[Age]]&lt;25,"18-24",Table1[[#This Row],[Age]]&lt;35,"25-34",Table1[[#This Row],[Age]]&lt;45,"35-44",Table1[[#This Row],[Age]]&lt;55,"45-54",TRUE,"55+")</f>
        <v>25-34</v>
      </c>
      <c r="L359" t="str">
        <f>"Q"&amp;ROUNDUP(MONTH(Table1[[#This Row],[Date]])/3,0)</f>
        <v>Q2</v>
      </c>
    </row>
    <row r="360" spans="1:12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5">
        <v>50</v>
      </c>
      <c r="I360" s="5">
        <v>50</v>
      </c>
      <c r="J360" s="2" t="str">
        <f>TEXT(Table1[[#This Row],[Date]],"mmm")</f>
        <v>Jul</v>
      </c>
      <c r="K360" t="str" cm="1">
        <f t="array" ref="K360">_xlfn.IFS(Table1[[#This Row],[Age]]&lt;25,"18-24",Table1[[#This Row],[Age]]&lt;35,"25-34",Table1[[#This Row],[Age]]&lt;45,"35-44",Table1[[#This Row],[Age]]&lt;55,"45-54",TRUE,"55+")</f>
        <v>45-54</v>
      </c>
      <c r="L360" t="str">
        <f>"Q"&amp;ROUNDUP(MONTH(Table1[[#This Row],[Date]])/3,0)</f>
        <v>Q3</v>
      </c>
    </row>
    <row r="361" spans="1:12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5">
        <v>25</v>
      </c>
      <c r="I361" s="5">
        <v>100</v>
      </c>
      <c r="J361" s="2" t="str">
        <f>TEXT(Table1[[#This Row],[Date]],"mmm")</f>
        <v>Mar</v>
      </c>
      <c r="K361" t="str" cm="1">
        <f t="array" ref="K361">_xlfn.IFS(Table1[[#This Row],[Age]]&lt;25,"18-24",Table1[[#This Row],[Age]]&lt;35,"25-34",Table1[[#This Row],[Age]]&lt;45,"35-44",Table1[[#This Row],[Age]]&lt;55,"45-54",TRUE,"55+")</f>
        <v>35-44</v>
      </c>
      <c r="L361" t="str">
        <f>"Q"&amp;ROUNDUP(MONTH(Table1[[#This Row],[Date]])/3,0)</f>
        <v>Q1</v>
      </c>
    </row>
    <row r="362" spans="1:12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5">
        <v>300</v>
      </c>
      <c r="I362" s="5">
        <v>1200</v>
      </c>
      <c r="J362" s="2" t="str">
        <f>TEXT(Table1[[#This Row],[Date]],"mmm")</f>
        <v>Dec</v>
      </c>
      <c r="K362" t="str" cm="1">
        <f t="array" ref="K362">_xlfn.IFS(Table1[[#This Row],[Age]]&lt;25,"18-24",Table1[[#This Row],[Age]]&lt;35,"25-34",Table1[[#This Row],[Age]]&lt;45,"35-44",Table1[[#This Row],[Age]]&lt;55,"45-54",TRUE,"55+")</f>
        <v>25-34</v>
      </c>
      <c r="L362" t="str">
        <f>"Q"&amp;ROUNDUP(MONTH(Table1[[#This Row],[Date]])/3,0)</f>
        <v>Q4</v>
      </c>
    </row>
    <row r="363" spans="1:12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5">
        <v>25</v>
      </c>
      <c r="I363" s="5">
        <v>25</v>
      </c>
      <c r="J363" s="2" t="str">
        <f>TEXT(Table1[[#This Row],[Date]],"mmm")</f>
        <v>Nov</v>
      </c>
      <c r="K363" t="str" cm="1">
        <f t="array" ref="K363">_xlfn.IFS(Table1[[#This Row],[Age]]&lt;25,"18-24",Table1[[#This Row],[Age]]&lt;35,"25-34",Table1[[#This Row],[Age]]&lt;45,"35-44",Table1[[#This Row],[Age]]&lt;55,"45-54",TRUE,"55+")</f>
        <v>45-54</v>
      </c>
      <c r="L363" t="str">
        <f>"Q"&amp;ROUNDUP(MONTH(Table1[[#This Row],[Date]])/3,0)</f>
        <v>Q4</v>
      </c>
    </row>
    <row r="364" spans="1:12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5">
        <v>25</v>
      </c>
      <c r="I364" s="5">
        <v>25</v>
      </c>
      <c r="J364" s="2" t="str">
        <f>TEXT(Table1[[#This Row],[Date]],"mmm")</f>
        <v>Jun</v>
      </c>
      <c r="K364" t="str" cm="1">
        <f t="array" ref="K364">_xlfn.IFS(Table1[[#This Row],[Age]]&lt;25,"18-24",Table1[[#This Row],[Age]]&lt;35,"25-34",Table1[[#This Row],[Age]]&lt;45,"35-44",Table1[[#This Row],[Age]]&lt;55,"45-54",TRUE,"55+")</f>
        <v>55+</v>
      </c>
      <c r="L364" t="str">
        <f>"Q"&amp;ROUNDUP(MONTH(Table1[[#This Row],[Date]])/3,0)</f>
        <v>Q2</v>
      </c>
    </row>
    <row r="365" spans="1:12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5">
        <v>500</v>
      </c>
      <c r="I365" s="5">
        <v>500</v>
      </c>
      <c r="J365" s="2" t="str">
        <f>TEXT(Table1[[#This Row],[Date]],"mmm")</f>
        <v>Aug</v>
      </c>
      <c r="K365" t="str" cm="1">
        <f t="array" ref="K365">_xlfn.IFS(Table1[[#This Row],[Age]]&lt;25,"18-24",Table1[[#This Row],[Age]]&lt;35,"25-34",Table1[[#This Row],[Age]]&lt;45,"35-44",Table1[[#This Row],[Age]]&lt;55,"45-54",TRUE,"55+")</f>
        <v>18-24</v>
      </c>
      <c r="L365" t="str">
        <f>"Q"&amp;ROUNDUP(MONTH(Table1[[#This Row],[Date]])/3,0)</f>
        <v>Q3</v>
      </c>
    </row>
    <row r="366" spans="1:12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5">
        <v>300</v>
      </c>
      <c r="I366" s="5">
        <v>300</v>
      </c>
      <c r="J366" s="2" t="str">
        <f>TEXT(Table1[[#This Row],[Date]],"mmm")</f>
        <v>Jun</v>
      </c>
      <c r="K366" t="str" cm="1">
        <f t="array" ref="K366">_xlfn.IFS(Table1[[#This Row],[Age]]&lt;25,"18-24",Table1[[#This Row],[Age]]&lt;35,"25-34",Table1[[#This Row],[Age]]&lt;45,"35-44",Table1[[#This Row],[Age]]&lt;55,"45-54",TRUE,"55+")</f>
        <v>25-34</v>
      </c>
      <c r="L366" t="str">
        <f>"Q"&amp;ROUNDUP(MONTH(Table1[[#This Row],[Date]])/3,0)</f>
        <v>Q2</v>
      </c>
    </row>
    <row r="367" spans="1:12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5">
        <v>50</v>
      </c>
      <c r="I367" s="5">
        <v>100</v>
      </c>
      <c r="J367" s="2" t="str">
        <f>TEXT(Table1[[#This Row],[Date]],"mmm")</f>
        <v>Feb</v>
      </c>
      <c r="K367" t="str" cm="1">
        <f t="array" ref="K367">_xlfn.IFS(Table1[[#This Row],[Age]]&lt;25,"18-24",Table1[[#This Row],[Age]]&lt;35,"25-34",Table1[[#This Row],[Age]]&lt;45,"35-44",Table1[[#This Row],[Age]]&lt;55,"45-54",TRUE,"55+")</f>
        <v>55+</v>
      </c>
      <c r="L367" t="str">
        <f>"Q"&amp;ROUNDUP(MONTH(Table1[[#This Row],[Date]])/3,0)</f>
        <v>Q1</v>
      </c>
    </row>
    <row r="368" spans="1:12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5">
        <v>50</v>
      </c>
      <c r="I368" s="5">
        <v>50</v>
      </c>
      <c r="J368" s="2" t="str">
        <f>TEXT(Table1[[#This Row],[Date]],"mmm")</f>
        <v>Jan</v>
      </c>
      <c r="K368" t="str" cm="1">
        <f t="array" ref="K368">_xlfn.IFS(Table1[[#This Row],[Age]]&lt;25,"18-24",Table1[[#This Row],[Age]]&lt;35,"25-34",Table1[[#This Row],[Age]]&lt;45,"35-44",Table1[[#This Row],[Age]]&lt;55,"45-54",TRUE,"55+")</f>
        <v>55+</v>
      </c>
      <c r="L368" t="str">
        <f>"Q"&amp;ROUNDUP(MONTH(Table1[[#This Row],[Date]])/3,0)</f>
        <v>Q1</v>
      </c>
    </row>
    <row r="369" spans="1:12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5">
        <v>300</v>
      </c>
      <c r="I369" s="5">
        <v>1200</v>
      </c>
      <c r="J369" s="2" t="str">
        <f>TEXT(Table1[[#This Row],[Date]],"mmm")</f>
        <v>Aug</v>
      </c>
      <c r="K369" t="str" cm="1">
        <f t="array" ref="K369">_xlfn.IFS(Table1[[#This Row],[Age]]&lt;25,"18-24",Table1[[#This Row],[Age]]&lt;35,"25-34",Table1[[#This Row],[Age]]&lt;45,"35-44",Table1[[#This Row],[Age]]&lt;55,"45-54",TRUE,"55+")</f>
        <v>55+</v>
      </c>
      <c r="L369" t="str">
        <f>"Q"&amp;ROUNDUP(MONTH(Table1[[#This Row],[Date]])/3,0)</f>
        <v>Q3</v>
      </c>
    </row>
    <row r="370" spans="1:12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5">
        <v>500</v>
      </c>
      <c r="I370" s="5">
        <v>1500</v>
      </c>
      <c r="J370" s="2" t="str">
        <f>TEXT(Table1[[#This Row],[Date]],"mmm")</f>
        <v>Nov</v>
      </c>
      <c r="K370" t="str" cm="1">
        <f t="array" ref="K370">_xlfn.IFS(Table1[[#This Row],[Age]]&lt;25,"18-24",Table1[[#This Row],[Age]]&lt;35,"25-34",Table1[[#This Row],[Age]]&lt;45,"35-44",Table1[[#This Row],[Age]]&lt;55,"45-54",TRUE,"55+")</f>
        <v>18-24</v>
      </c>
      <c r="L370" t="str">
        <f>"Q"&amp;ROUNDUP(MONTH(Table1[[#This Row],[Date]])/3,0)</f>
        <v>Q4</v>
      </c>
    </row>
    <row r="371" spans="1:12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5">
        <v>30</v>
      </c>
      <c r="I371" s="5">
        <v>60</v>
      </c>
      <c r="J371" s="2" t="str">
        <f>TEXT(Table1[[#This Row],[Date]],"mmm")</f>
        <v>Oct</v>
      </c>
      <c r="K371" t="str" cm="1">
        <f t="array" ref="K371">_xlfn.IFS(Table1[[#This Row],[Age]]&lt;25,"18-24",Table1[[#This Row],[Age]]&lt;35,"25-34",Table1[[#This Row],[Age]]&lt;45,"35-44",Table1[[#This Row],[Age]]&lt;55,"45-54",TRUE,"55+")</f>
        <v>18-24</v>
      </c>
      <c r="L371" t="str">
        <f>"Q"&amp;ROUNDUP(MONTH(Table1[[#This Row],[Date]])/3,0)</f>
        <v>Q4</v>
      </c>
    </row>
    <row r="372" spans="1:12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5">
        <v>25</v>
      </c>
      <c r="I372" s="5">
        <v>25</v>
      </c>
      <c r="J372" s="2" t="str">
        <f>TEXT(Table1[[#This Row],[Date]],"mmm")</f>
        <v>Feb</v>
      </c>
      <c r="K372" t="str" cm="1">
        <f t="array" ref="K372">_xlfn.IFS(Table1[[#This Row],[Age]]&lt;25,"18-24",Table1[[#This Row],[Age]]&lt;35,"25-34",Table1[[#This Row],[Age]]&lt;45,"35-44",Table1[[#This Row],[Age]]&lt;55,"45-54",TRUE,"55+")</f>
        <v>18-24</v>
      </c>
      <c r="L372" t="str">
        <f>"Q"&amp;ROUNDUP(MONTH(Table1[[#This Row],[Date]])/3,0)</f>
        <v>Q1</v>
      </c>
    </row>
    <row r="373" spans="1:12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5">
        <v>500</v>
      </c>
      <c r="I373" s="5">
        <v>1500</v>
      </c>
      <c r="J373" s="2" t="str">
        <f>TEXT(Table1[[#This Row],[Date]],"mmm")</f>
        <v>Feb</v>
      </c>
      <c r="K373" t="str" cm="1">
        <f t="array" ref="K373">_xlfn.IFS(Table1[[#This Row],[Age]]&lt;25,"18-24",Table1[[#This Row],[Age]]&lt;35,"25-34",Table1[[#This Row],[Age]]&lt;45,"35-44",Table1[[#This Row],[Age]]&lt;55,"45-54",TRUE,"55+")</f>
        <v>18-24</v>
      </c>
      <c r="L373" t="str">
        <f>"Q"&amp;ROUNDUP(MONTH(Table1[[#This Row],[Date]])/3,0)</f>
        <v>Q1</v>
      </c>
    </row>
    <row r="374" spans="1:12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5">
        <v>300</v>
      </c>
      <c r="I374" s="5">
        <v>600</v>
      </c>
      <c r="J374" s="2" t="str">
        <f>TEXT(Table1[[#This Row],[Date]],"mmm")</f>
        <v>Oct</v>
      </c>
      <c r="K374" t="str" cm="1">
        <f t="array" ref="K374">_xlfn.IFS(Table1[[#This Row],[Age]]&lt;25,"18-24",Table1[[#This Row],[Age]]&lt;35,"25-34",Table1[[#This Row],[Age]]&lt;45,"35-44",Table1[[#This Row],[Age]]&lt;55,"45-54",TRUE,"55+")</f>
        <v>25-34</v>
      </c>
      <c r="L374" t="str">
        <f>"Q"&amp;ROUNDUP(MONTH(Table1[[#This Row],[Date]])/3,0)</f>
        <v>Q4</v>
      </c>
    </row>
    <row r="375" spans="1:12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5">
        <v>25</v>
      </c>
      <c r="I375" s="5">
        <v>75</v>
      </c>
      <c r="J375" s="2" t="str">
        <f>TEXT(Table1[[#This Row],[Date]],"mmm")</f>
        <v>Apr</v>
      </c>
      <c r="K375" t="str" cm="1">
        <f t="array" ref="K375">_xlfn.IFS(Table1[[#This Row],[Age]]&lt;25,"18-24",Table1[[#This Row],[Age]]&lt;35,"25-34",Table1[[#This Row],[Age]]&lt;45,"35-44",Table1[[#This Row],[Age]]&lt;55,"45-54",TRUE,"55+")</f>
        <v>55+</v>
      </c>
      <c r="L375" t="str">
        <f>"Q"&amp;ROUNDUP(MONTH(Table1[[#This Row],[Date]])/3,0)</f>
        <v>Q2</v>
      </c>
    </row>
    <row r="376" spans="1:12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5">
        <v>50</v>
      </c>
      <c r="I376" s="5">
        <v>50</v>
      </c>
      <c r="J376" s="2" t="str">
        <f>TEXT(Table1[[#This Row],[Date]],"mmm")</f>
        <v>Sep</v>
      </c>
      <c r="K376" t="str" cm="1">
        <f t="array" ref="K376">_xlfn.IFS(Table1[[#This Row],[Age]]&lt;25,"18-24",Table1[[#This Row],[Age]]&lt;35,"25-34",Table1[[#This Row],[Age]]&lt;45,"35-44",Table1[[#This Row],[Age]]&lt;55,"45-54",TRUE,"55+")</f>
        <v>25-34</v>
      </c>
      <c r="L376" t="str">
        <f>"Q"&amp;ROUNDUP(MONTH(Table1[[#This Row],[Date]])/3,0)</f>
        <v>Q3</v>
      </c>
    </row>
    <row r="377" spans="1:12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5">
        <v>30</v>
      </c>
      <c r="I377" s="5">
        <v>30</v>
      </c>
      <c r="J377" s="2" t="str">
        <f>TEXT(Table1[[#This Row],[Date]],"mmm")</f>
        <v>May</v>
      </c>
      <c r="K377" t="str" cm="1">
        <f t="array" ref="K377">_xlfn.IFS(Table1[[#This Row],[Age]]&lt;25,"18-24",Table1[[#This Row],[Age]]&lt;35,"25-34",Table1[[#This Row],[Age]]&lt;45,"35-44",Table1[[#This Row],[Age]]&lt;55,"45-54",TRUE,"55+")</f>
        <v>55+</v>
      </c>
      <c r="L377" t="str">
        <f>"Q"&amp;ROUNDUP(MONTH(Table1[[#This Row],[Date]])/3,0)</f>
        <v>Q2</v>
      </c>
    </row>
    <row r="378" spans="1:12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5">
        <v>50</v>
      </c>
      <c r="I378" s="5">
        <v>200</v>
      </c>
      <c r="J378" s="2" t="str">
        <f>TEXT(Table1[[#This Row],[Date]],"mmm")</f>
        <v>Mar</v>
      </c>
      <c r="K378" t="str" cm="1">
        <f t="array" ref="K378">_xlfn.IFS(Table1[[#This Row],[Age]]&lt;25,"18-24",Table1[[#This Row],[Age]]&lt;35,"25-34",Table1[[#This Row],[Age]]&lt;45,"35-44",Table1[[#This Row],[Age]]&lt;55,"45-54",TRUE,"55+")</f>
        <v>45-54</v>
      </c>
      <c r="L378" t="str">
        <f>"Q"&amp;ROUNDUP(MONTH(Table1[[#This Row],[Date]])/3,0)</f>
        <v>Q1</v>
      </c>
    </row>
    <row r="379" spans="1:12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5">
        <v>300</v>
      </c>
      <c r="I379" s="5">
        <v>300</v>
      </c>
      <c r="J379" s="2" t="str">
        <f>TEXT(Table1[[#This Row],[Date]],"mmm")</f>
        <v>Jun</v>
      </c>
      <c r="K379" t="str" cm="1">
        <f t="array" ref="K379">_xlfn.IFS(Table1[[#This Row],[Age]]&lt;25,"18-24",Table1[[#This Row],[Age]]&lt;35,"25-34",Table1[[#This Row],[Age]]&lt;45,"35-44",Table1[[#This Row],[Age]]&lt;55,"45-54",TRUE,"55+")</f>
        <v>45-54</v>
      </c>
      <c r="L379" t="str">
        <f>"Q"&amp;ROUNDUP(MONTH(Table1[[#This Row],[Date]])/3,0)</f>
        <v>Q2</v>
      </c>
    </row>
    <row r="380" spans="1:12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5">
        <v>25</v>
      </c>
      <c r="I380" s="5">
        <v>25</v>
      </c>
      <c r="J380" s="2" t="str">
        <f>TEXT(Table1[[#This Row],[Date]],"mmm")</f>
        <v>Feb</v>
      </c>
      <c r="K380" t="str" cm="1">
        <f t="array" ref="K380">_xlfn.IFS(Table1[[#This Row],[Age]]&lt;25,"18-24",Table1[[#This Row],[Age]]&lt;35,"25-34",Table1[[#This Row],[Age]]&lt;45,"35-44",Table1[[#This Row],[Age]]&lt;55,"45-54",TRUE,"55+")</f>
        <v>45-54</v>
      </c>
      <c r="L380" t="str">
        <f>"Q"&amp;ROUNDUP(MONTH(Table1[[#This Row],[Date]])/3,0)</f>
        <v>Q1</v>
      </c>
    </row>
    <row r="381" spans="1:12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5">
        <v>300</v>
      </c>
      <c r="I381" s="5">
        <v>600</v>
      </c>
      <c r="J381" s="2" t="str">
        <f>TEXT(Table1[[#This Row],[Date]],"mmm")</f>
        <v>May</v>
      </c>
      <c r="K381" t="str" cm="1">
        <f t="array" ref="K381">_xlfn.IFS(Table1[[#This Row],[Age]]&lt;25,"18-24",Table1[[#This Row],[Age]]&lt;35,"25-34",Table1[[#This Row],[Age]]&lt;45,"35-44",Table1[[#This Row],[Age]]&lt;55,"45-54",TRUE,"55+")</f>
        <v>55+</v>
      </c>
      <c r="L381" t="str">
        <f>"Q"&amp;ROUNDUP(MONTH(Table1[[#This Row],[Date]])/3,0)</f>
        <v>Q2</v>
      </c>
    </row>
    <row r="382" spans="1:12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5">
        <v>25</v>
      </c>
      <c r="I382" s="5">
        <v>100</v>
      </c>
      <c r="J382" s="2" t="str">
        <f>TEXT(Table1[[#This Row],[Date]],"mmm")</f>
        <v>Jul</v>
      </c>
      <c r="K382" t="str" cm="1">
        <f t="array" ref="K382">_xlfn.IFS(Table1[[#This Row],[Age]]&lt;25,"18-24",Table1[[#This Row],[Age]]&lt;35,"25-34",Table1[[#This Row],[Age]]&lt;45,"35-44",Table1[[#This Row],[Age]]&lt;55,"45-54",TRUE,"55+")</f>
        <v>35-44</v>
      </c>
      <c r="L382" t="str">
        <f>"Q"&amp;ROUNDUP(MONTH(Table1[[#This Row],[Date]])/3,0)</f>
        <v>Q3</v>
      </c>
    </row>
    <row r="383" spans="1:12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5">
        <v>500</v>
      </c>
      <c r="I383" s="5">
        <v>1000</v>
      </c>
      <c r="J383" s="2" t="str">
        <f>TEXT(Table1[[#This Row],[Date]],"mmm")</f>
        <v>May</v>
      </c>
      <c r="K383" t="str" cm="1">
        <f t="array" ref="K383">_xlfn.IFS(Table1[[#This Row],[Age]]&lt;25,"18-24",Table1[[#This Row],[Age]]&lt;35,"25-34",Table1[[#This Row],[Age]]&lt;45,"35-44",Table1[[#This Row],[Age]]&lt;55,"45-54",TRUE,"55+")</f>
        <v>45-54</v>
      </c>
      <c r="L383" t="str">
        <f>"Q"&amp;ROUNDUP(MONTH(Table1[[#This Row],[Date]])/3,0)</f>
        <v>Q2</v>
      </c>
    </row>
    <row r="384" spans="1:12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5">
        <v>30</v>
      </c>
      <c r="I384" s="5">
        <v>90</v>
      </c>
      <c r="J384" s="2" t="str">
        <f>TEXT(Table1[[#This Row],[Date]],"mmm")</f>
        <v>Mar</v>
      </c>
      <c r="K384" t="str" cm="1">
        <f t="array" ref="K384">_xlfn.IFS(Table1[[#This Row],[Age]]&lt;25,"18-24",Table1[[#This Row],[Age]]&lt;35,"25-34",Table1[[#This Row],[Age]]&lt;45,"35-44",Table1[[#This Row],[Age]]&lt;55,"45-54",TRUE,"55+")</f>
        <v>45-54</v>
      </c>
      <c r="L384" t="str">
        <f>"Q"&amp;ROUNDUP(MONTH(Table1[[#This Row],[Date]])/3,0)</f>
        <v>Q1</v>
      </c>
    </row>
    <row r="385" spans="1:12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5">
        <v>500</v>
      </c>
      <c r="I385" s="5">
        <v>500</v>
      </c>
      <c r="J385" s="2" t="str">
        <f>TEXT(Table1[[#This Row],[Date]],"mmm")</f>
        <v>Aug</v>
      </c>
      <c r="K385" t="str" cm="1">
        <f t="array" ref="K385">_xlfn.IFS(Table1[[#This Row],[Age]]&lt;25,"18-24",Table1[[#This Row],[Age]]&lt;35,"25-34",Table1[[#This Row],[Age]]&lt;45,"35-44",Table1[[#This Row],[Age]]&lt;55,"45-54",TRUE,"55+")</f>
        <v>55+</v>
      </c>
      <c r="L385" t="str">
        <f>"Q"&amp;ROUNDUP(MONTH(Table1[[#This Row],[Date]])/3,0)</f>
        <v>Q3</v>
      </c>
    </row>
    <row r="386" spans="1:12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5">
        <v>500</v>
      </c>
      <c r="I386" s="5">
        <v>1500</v>
      </c>
      <c r="J386" s="2" t="str">
        <f>TEXT(Table1[[#This Row],[Date]],"mmm")</f>
        <v>Oct</v>
      </c>
      <c r="K386" t="str" cm="1">
        <f t="array" ref="K386">_xlfn.IFS(Table1[[#This Row],[Age]]&lt;25,"18-24",Table1[[#This Row],[Age]]&lt;35,"25-34",Table1[[#This Row],[Age]]&lt;45,"35-44",Table1[[#This Row],[Age]]&lt;55,"45-54",TRUE,"55+")</f>
        <v>45-54</v>
      </c>
      <c r="L386" t="str">
        <f>"Q"&amp;ROUNDUP(MONTH(Table1[[#This Row],[Date]])/3,0)</f>
        <v>Q4</v>
      </c>
    </row>
    <row r="387" spans="1:12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5">
        <v>300</v>
      </c>
      <c r="I387" s="5">
        <v>600</v>
      </c>
      <c r="J387" s="2" t="str">
        <f>TEXT(Table1[[#This Row],[Date]],"mmm")</f>
        <v>Dec</v>
      </c>
      <c r="K387" t="str" cm="1">
        <f t="array" ref="K387">_xlfn.IFS(Table1[[#This Row],[Age]]&lt;25,"18-24",Table1[[#This Row],[Age]]&lt;35,"25-34",Table1[[#This Row],[Age]]&lt;45,"35-44",Table1[[#This Row],[Age]]&lt;55,"45-54",TRUE,"55+")</f>
        <v>45-54</v>
      </c>
      <c r="L387" t="str">
        <f>"Q"&amp;ROUNDUP(MONTH(Table1[[#This Row],[Date]])/3,0)</f>
        <v>Q4</v>
      </c>
    </row>
    <row r="388" spans="1:12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5">
        <v>30</v>
      </c>
      <c r="I388" s="5">
        <v>30</v>
      </c>
      <c r="J388" s="2" t="str">
        <f>TEXT(Table1[[#This Row],[Date]],"mmm")</f>
        <v>Jun</v>
      </c>
      <c r="K388" t="str" cm="1">
        <f t="array" ref="K388">_xlfn.IFS(Table1[[#This Row],[Age]]&lt;25,"18-24",Table1[[#This Row],[Age]]&lt;35,"25-34",Table1[[#This Row],[Age]]&lt;45,"35-44",Table1[[#This Row],[Age]]&lt;55,"45-54",TRUE,"55+")</f>
        <v>35-44</v>
      </c>
      <c r="L388" t="str">
        <f>"Q"&amp;ROUNDUP(MONTH(Table1[[#This Row],[Date]])/3,0)</f>
        <v>Q2</v>
      </c>
    </row>
    <row r="389" spans="1:12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5">
        <v>25</v>
      </c>
      <c r="I389" s="5">
        <v>25</v>
      </c>
      <c r="J389" s="2" t="str">
        <f>TEXT(Table1[[#This Row],[Date]],"mmm")</f>
        <v>Nov</v>
      </c>
      <c r="K389" t="str" cm="1">
        <f t="array" ref="K389">_xlfn.IFS(Table1[[#This Row],[Age]]&lt;25,"18-24",Table1[[#This Row],[Age]]&lt;35,"25-34",Table1[[#This Row],[Age]]&lt;45,"35-44",Table1[[#This Row],[Age]]&lt;55,"45-54",TRUE,"55+")</f>
        <v>45-54</v>
      </c>
      <c r="L389" t="str">
        <f>"Q"&amp;ROUNDUP(MONTH(Table1[[#This Row],[Date]])/3,0)</f>
        <v>Q4</v>
      </c>
    </row>
    <row r="390" spans="1:12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5">
        <v>25</v>
      </c>
      <c r="I390" s="5">
        <v>50</v>
      </c>
      <c r="J390" s="2" t="str">
        <f>TEXT(Table1[[#This Row],[Date]],"mmm")</f>
        <v>Dec</v>
      </c>
      <c r="K390" t="str" cm="1">
        <f t="array" ref="K390">_xlfn.IFS(Table1[[#This Row],[Age]]&lt;25,"18-24",Table1[[#This Row],[Age]]&lt;35,"25-34",Table1[[#This Row],[Age]]&lt;45,"35-44",Table1[[#This Row],[Age]]&lt;55,"45-54",TRUE,"55+")</f>
        <v>18-24</v>
      </c>
      <c r="L390" t="str">
        <f>"Q"&amp;ROUNDUP(MONTH(Table1[[#This Row],[Date]])/3,0)</f>
        <v>Q4</v>
      </c>
    </row>
    <row r="391" spans="1:12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5">
        <v>50</v>
      </c>
      <c r="I391" s="5">
        <v>100</v>
      </c>
      <c r="J391" s="2" t="str">
        <f>TEXT(Table1[[#This Row],[Date]],"mmm")</f>
        <v>Sep</v>
      </c>
      <c r="K391" t="str" cm="1">
        <f t="array" ref="K391">_xlfn.IFS(Table1[[#This Row],[Age]]&lt;25,"18-24",Table1[[#This Row],[Age]]&lt;35,"25-34",Table1[[#This Row],[Age]]&lt;45,"35-44",Table1[[#This Row],[Age]]&lt;55,"45-54",TRUE,"55+")</f>
        <v>35-44</v>
      </c>
      <c r="L391" t="str">
        <f>"Q"&amp;ROUNDUP(MONTH(Table1[[#This Row],[Date]])/3,0)</f>
        <v>Q3</v>
      </c>
    </row>
    <row r="392" spans="1:12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5">
        <v>25</v>
      </c>
      <c r="I392" s="5">
        <v>50</v>
      </c>
      <c r="J392" s="2" t="str">
        <f>TEXT(Table1[[#This Row],[Date]],"mmm")</f>
        <v>Jan</v>
      </c>
      <c r="K392" t="str" cm="1">
        <f t="array" ref="K392">_xlfn.IFS(Table1[[#This Row],[Age]]&lt;25,"18-24",Table1[[#This Row],[Age]]&lt;35,"25-34",Table1[[#This Row],[Age]]&lt;45,"35-44",Table1[[#This Row],[Age]]&lt;55,"45-54",TRUE,"55+")</f>
        <v>18-24</v>
      </c>
      <c r="L392" t="str">
        <f>"Q"&amp;ROUNDUP(MONTH(Table1[[#This Row],[Date]])/3,0)</f>
        <v>Q1</v>
      </c>
    </row>
    <row r="393" spans="1:12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5">
        <v>300</v>
      </c>
      <c r="I393" s="5">
        <v>600</v>
      </c>
      <c r="J393" s="2" t="str">
        <f>TEXT(Table1[[#This Row],[Date]],"mmm")</f>
        <v>Dec</v>
      </c>
      <c r="K393" t="str" cm="1">
        <f t="array" ref="K393">_xlfn.IFS(Table1[[#This Row],[Age]]&lt;25,"18-24",Table1[[#This Row],[Age]]&lt;35,"25-34",Table1[[#This Row],[Age]]&lt;45,"35-44",Table1[[#This Row],[Age]]&lt;55,"45-54",TRUE,"55+")</f>
        <v>25-34</v>
      </c>
      <c r="L393" t="str">
        <f>"Q"&amp;ROUNDUP(MONTH(Table1[[#This Row],[Date]])/3,0)</f>
        <v>Q4</v>
      </c>
    </row>
    <row r="394" spans="1:12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5">
        <v>500</v>
      </c>
      <c r="I394" s="5">
        <v>1000</v>
      </c>
      <c r="J394" s="2" t="str">
        <f>TEXT(Table1[[#This Row],[Date]],"mmm")</f>
        <v>Oct</v>
      </c>
      <c r="K394" t="str" cm="1">
        <f t="array" ref="K394">_xlfn.IFS(Table1[[#This Row],[Age]]&lt;25,"18-24",Table1[[#This Row],[Age]]&lt;35,"25-34",Table1[[#This Row],[Age]]&lt;45,"35-44",Table1[[#This Row],[Age]]&lt;55,"45-54",TRUE,"55+")</f>
        <v>18-24</v>
      </c>
      <c r="L394" t="str">
        <f>"Q"&amp;ROUNDUP(MONTH(Table1[[#This Row],[Date]])/3,0)</f>
        <v>Q4</v>
      </c>
    </row>
    <row r="395" spans="1:12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5">
        <v>500</v>
      </c>
      <c r="I395" s="5">
        <v>500</v>
      </c>
      <c r="J395" s="2" t="str">
        <f>TEXT(Table1[[#This Row],[Date]],"mmm")</f>
        <v>Jun</v>
      </c>
      <c r="K395" t="str" cm="1">
        <f t="array" ref="K395">_xlfn.IFS(Table1[[#This Row],[Age]]&lt;25,"18-24",Table1[[#This Row],[Age]]&lt;35,"25-34",Table1[[#This Row],[Age]]&lt;45,"35-44",Table1[[#This Row],[Age]]&lt;55,"45-54",TRUE,"55+")</f>
        <v>25-34</v>
      </c>
      <c r="L395" t="str">
        <f>"Q"&amp;ROUNDUP(MONTH(Table1[[#This Row],[Date]])/3,0)</f>
        <v>Q2</v>
      </c>
    </row>
    <row r="396" spans="1:12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5">
        <v>500</v>
      </c>
      <c r="I396" s="5">
        <v>1000</v>
      </c>
      <c r="J396" s="2" t="str">
        <f>TEXT(Table1[[#This Row],[Date]],"mmm")</f>
        <v>Dec</v>
      </c>
      <c r="K396" t="str" cm="1">
        <f t="array" ref="K396">_xlfn.IFS(Table1[[#This Row],[Age]]&lt;25,"18-24",Table1[[#This Row],[Age]]&lt;35,"25-34",Table1[[#This Row],[Age]]&lt;45,"35-44",Table1[[#This Row],[Age]]&lt;55,"45-54",TRUE,"55+")</f>
        <v>45-54</v>
      </c>
      <c r="L396" t="str">
        <f>"Q"&amp;ROUNDUP(MONTH(Table1[[#This Row],[Date]])/3,0)</f>
        <v>Q4</v>
      </c>
    </row>
    <row r="397" spans="1:12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5">
        <v>30</v>
      </c>
      <c r="I397" s="5">
        <v>30</v>
      </c>
      <c r="J397" s="2" t="str">
        <f>TEXT(Table1[[#This Row],[Date]],"mmm")</f>
        <v>Feb</v>
      </c>
      <c r="K397" t="str" cm="1">
        <f t="array" ref="K397">_xlfn.IFS(Table1[[#This Row],[Age]]&lt;25,"18-24",Table1[[#This Row],[Age]]&lt;35,"25-34",Table1[[#This Row],[Age]]&lt;45,"35-44",Table1[[#This Row],[Age]]&lt;55,"45-54",TRUE,"55+")</f>
        <v>55+</v>
      </c>
      <c r="L397" t="str">
        <f>"Q"&amp;ROUNDUP(MONTH(Table1[[#This Row],[Date]])/3,0)</f>
        <v>Q1</v>
      </c>
    </row>
    <row r="398" spans="1:12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5">
        <v>25</v>
      </c>
      <c r="I398" s="5">
        <v>25</v>
      </c>
      <c r="J398" s="2" t="str">
        <f>TEXT(Table1[[#This Row],[Date]],"mmm")</f>
        <v>Mar</v>
      </c>
      <c r="K398" t="str" cm="1">
        <f t="array" ref="K398">_xlfn.IFS(Table1[[#This Row],[Age]]&lt;25,"18-24",Table1[[#This Row],[Age]]&lt;35,"25-34",Table1[[#This Row],[Age]]&lt;45,"35-44",Table1[[#This Row],[Age]]&lt;55,"45-54",TRUE,"55+")</f>
        <v>25-34</v>
      </c>
      <c r="L398" t="str">
        <f>"Q"&amp;ROUNDUP(MONTH(Table1[[#This Row],[Date]])/3,0)</f>
        <v>Q1</v>
      </c>
    </row>
    <row r="399" spans="1:12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5">
        <v>300</v>
      </c>
      <c r="I399" s="5">
        <v>600</v>
      </c>
      <c r="J399" s="2" t="str">
        <f>TEXT(Table1[[#This Row],[Date]],"mmm")</f>
        <v>May</v>
      </c>
      <c r="K399" t="str" cm="1">
        <f t="array" ref="K399">_xlfn.IFS(Table1[[#This Row],[Age]]&lt;25,"18-24",Table1[[#This Row],[Age]]&lt;35,"25-34",Table1[[#This Row],[Age]]&lt;45,"35-44",Table1[[#This Row],[Age]]&lt;55,"45-54",TRUE,"55+")</f>
        <v>45-54</v>
      </c>
      <c r="L399" t="str">
        <f>"Q"&amp;ROUNDUP(MONTH(Table1[[#This Row],[Date]])/3,0)</f>
        <v>Q2</v>
      </c>
    </row>
    <row r="400" spans="1:12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5">
        <v>30</v>
      </c>
      <c r="I400" s="5">
        <v>60</v>
      </c>
      <c r="J400" s="2" t="str">
        <f>TEXT(Table1[[#This Row],[Date]],"mmm")</f>
        <v>Mar</v>
      </c>
      <c r="K400" t="str" cm="1">
        <f t="array" ref="K400">_xlfn.IFS(Table1[[#This Row],[Age]]&lt;25,"18-24",Table1[[#This Row],[Age]]&lt;35,"25-34",Table1[[#This Row],[Age]]&lt;45,"35-44",Table1[[#This Row],[Age]]&lt;55,"45-54",TRUE,"55+")</f>
        <v>55+</v>
      </c>
      <c r="L400" t="str">
        <f>"Q"&amp;ROUNDUP(MONTH(Table1[[#This Row],[Date]])/3,0)</f>
        <v>Q1</v>
      </c>
    </row>
    <row r="401" spans="1:12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5">
        <v>50</v>
      </c>
      <c r="I401" s="5">
        <v>200</v>
      </c>
      <c r="J401" s="2" t="str">
        <f>TEXT(Table1[[#This Row],[Date]],"mmm")</f>
        <v>Feb</v>
      </c>
      <c r="K401" t="str" cm="1">
        <f t="array" ref="K401">_xlfn.IFS(Table1[[#This Row],[Age]]&lt;25,"18-24",Table1[[#This Row],[Age]]&lt;35,"25-34",Table1[[#This Row],[Age]]&lt;45,"35-44",Table1[[#This Row],[Age]]&lt;55,"45-54",TRUE,"55+")</f>
        <v>45-54</v>
      </c>
      <c r="L401" t="str">
        <f>"Q"&amp;ROUNDUP(MONTH(Table1[[#This Row],[Date]])/3,0)</f>
        <v>Q1</v>
      </c>
    </row>
    <row r="402" spans="1:12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5">
        <v>300</v>
      </c>
      <c r="I402" s="5">
        <v>300</v>
      </c>
      <c r="J402" s="2" t="str">
        <f>TEXT(Table1[[#This Row],[Date]],"mmm")</f>
        <v>Oct</v>
      </c>
      <c r="K402" t="str" cm="1">
        <f t="array" ref="K402">_xlfn.IFS(Table1[[#This Row],[Age]]&lt;25,"18-24",Table1[[#This Row],[Age]]&lt;35,"25-34",Table1[[#This Row],[Age]]&lt;45,"35-44",Table1[[#This Row],[Age]]&lt;55,"45-54",TRUE,"55+")</f>
        <v>55+</v>
      </c>
      <c r="L402" t="str">
        <f>"Q"&amp;ROUNDUP(MONTH(Table1[[#This Row],[Date]])/3,0)</f>
        <v>Q4</v>
      </c>
    </row>
    <row r="403" spans="1:12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5">
        <v>300</v>
      </c>
      <c r="I403" s="5">
        <v>600</v>
      </c>
      <c r="J403" s="2" t="str">
        <f>TEXT(Table1[[#This Row],[Date]],"mmm")</f>
        <v>Mar</v>
      </c>
      <c r="K403" t="str" cm="1">
        <f t="array" ref="K403">_xlfn.IFS(Table1[[#This Row],[Age]]&lt;25,"18-24",Table1[[#This Row],[Age]]&lt;35,"25-34",Table1[[#This Row],[Age]]&lt;45,"35-44",Table1[[#This Row],[Age]]&lt;55,"45-54",TRUE,"55+")</f>
        <v>35-44</v>
      </c>
      <c r="L403" t="str">
        <f>"Q"&amp;ROUNDUP(MONTH(Table1[[#This Row],[Date]])/3,0)</f>
        <v>Q1</v>
      </c>
    </row>
    <row r="404" spans="1:12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5">
        <v>300</v>
      </c>
      <c r="I404" s="5">
        <v>600</v>
      </c>
      <c r="J404" s="2" t="str">
        <f>TEXT(Table1[[#This Row],[Date]],"mmm")</f>
        <v>May</v>
      </c>
      <c r="K404" t="str" cm="1">
        <f t="array" ref="K404">_xlfn.IFS(Table1[[#This Row],[Age]]&lt;25,"18-24",Table1[[#This Row],[Age]]&lt;35,"25-34",Table1[[#This Row],[Age]]&lt;45,"35-44",Table1[[#This Row],[Age]]&lt;55,"45-54",TRUE,"55+")</f>
        <v>25-34</v>
      </c>
      <c r="L404" t="str">
        <f>"Q"&amp;ROUNDUP(MONTH(Table1[[#This Row],[Date]])/3,0)</f>
        <v>Q2</v>
      </c>
    </row>
    <row r="405" spans="1:12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5">
        <v>500</v>
      </c>
      <c r="I405" s="5">
        <v>1000</v>
      </c>
      <c r="J405" s="2" t="str">
        <f>TEXT(Table1[[#This Row],[Date]],"mmm")</f>
        <v>May</v>
      </c>
      <c r="K405" t="str" cm="1">
        <f t="array" ref="K405">_xlfn.IFS(Table1[[#This Row],[Age]]&lt;25,"18-24",Table1[[#This Row],[Age]]&lt;35,"25-34",Table1[[#This Row],[Age]]&lt;45,"35-44",Table1[[#This Row],[Age]]&lt;55,"45-54",TRUE,"55+")</f>
        <v>45-54</v>
      </c>
      <c r="L405" t="str">
        <f>"Q"&amp;ROUNDUP(MONTH(Table1[[#This Row],[Date]])/3,0)</f>
        <v>Q2</v>
      </c>
    </row>
    <row r="406" spans="1:12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5">
        <v>300</v>
      </c>
      <c r="I406" s="5">
        <v>1200</v>
      </c>
      <c r="J406" s="2" t="str">
        <f>TEXT(Table1[[#This Row],[Date]],"mmm")</f>
        <v>Nov</v>
      </c>
      <c r="K406" t="str" cm="1">
        <f t="array" ref="K406">_xlfn.IFS(Table1[[#This Row],[Age]]&lt;25,"18-24",Table1[[#This Row],[Age]]&lt;35,"25-34",Table1[[#This Row],[Age]]&lt;45,"35-44",Table1[[#This Row],[Age]]&lt;55,"45-54",TRUE,"55+")</f>
        <v>25-34</v>
      </c>
      <c r="L406" t="str">
        <f>"Q"&amp;ROUNDUP(MONTH(Table1[[#This Row],[Date]])/3,0)</f>
        <v>Q4</v>
      </c>
    </row>
    <row r="407" spans="1:12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5">
        <v>25</v>
      </c>
      <c r="I407" s="5">
        <v>100</v>
      </c>
      <c r="J407" s="2" t="str">
        <f>TEXT(Table1[[#This Row],[Date]],"mmm")</f>
        <v>Apr</v>
      </c>
      <c r="K407" t="str" cm="1">
        <f t="array" ref="K407">_xlfn.IFS(Table1[[#This Row],[Age]]&lt;25,"18-24",Table1[[#This Row],[Age]]&lt;35,"25-34",Table1[[#This Row],[Age]]&lt;45,"35-44",Table1[[#This Row],[Age]]&lt;55,"45-54",TRUE,"55+")</f>
        <v>18-24</v>
      </c>
      <c r="L407" t="str">
        <f>"Q"&amp;ROUNDUP(MONTH(Table1[[#This Row],[Date]])/3,0)</f>
        <v>Q2</v>
      </c>
    </row>
    <row r="408" spans="1:12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5">
        <v>300</v>
      </c>
      <c r="I408" s="5">
        <v>900</v>
      </c>
      <c r="J408" s="2" t="str">
        <f>TEXT(Table1[[#This Row],[Date]],"mmm")</f>
        <v>Jun</v>
      </c>
      <c r="K408" t="str" cm="1">
        <f t="array" ref="K408">_xlfn.IFS(Table1[[#This Row],[Age]]&lt;25,"18-24",Table1[[#This Row],[Age]]&lt;35,"25-34",Table1[[#This Row],[Age]]&lt;45,"35-44",Table1[[#This Row],[Age]]&lt;55,"45-54",TRUE,"55+")</f>
        <v>45-54</v>
      </c>
      <c r="L408" t="str">
        <f>"Q"&amp;ROUNDUP(MONTH(Table1[[#This Row],[Date]])/3,0)</f>
        <v>Q2</v>
      </c>
    </row>
    <row r="409" spans="1:12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5">
        <v>500</v>
      </c>
      <c r="I409" s="5">
        <v>500</v>
      </c>
      <c r="J409" s="2" t="str">
        <f>TEXT(Table1[[#This Row],[Date]],"mmm")</f>
        <v>Apr</v>
      </c>
      <c r="K409" t="str" cm="1">
        <f t="array" ref="K409">_xlfn.IFS(Table1[[#This Row],[Age]]&lt;25,"18-24",Table1[[#This Row],[Age]]&lt;35,"25-34",Table1[[#This Row],[Age]]&lt;45,"35-44",Table1[[#This Row],[Age]]&lt;55,"45-54",TRUE,"55+")</f>
        <v>55+</v>
      </c>
      <c r="L409" t="str">
        <f>"Q"&amp;ROUNDUP(MONTH(Table1[[#This Row],[Date]])/3,0)</f>
        <v>Q2</v>
      </c>
    </row>
    <row r="410" spans="1:12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5">
        <v>300</v>
      </c>
      <c r="I410" s="5">
        <v>900</v>
      </c>
      <c r="J410" s="2" t="str">
        <f>TEXT(Table1[[#This Row],[Date]],"mmm")</f>
        <v>Dec</v>
      </c>
      <c r="K410" t="str" cm="1">
        <f t="array" ref="K410">_xlfn.IFS(Table1[[#This Row],[Age]]&lt;25,"18-24",Table1[[#This Row],[Age]]&lt;35,"25-34",Table1[[#This Row],[Age]]&lt;45,"35-44",Table1[[#This Row],[Age]]&lt;55,"45-54",TRUE,"55+")</f>
        <v>18-24</v>
      </c>
      <c r="L410" t="str">
        <f>"Q"&amp;ROUNDUP(MONTH(Table1[[#This Row],[Date]])/3,0)</f>
        <v>Q4</v>
      </c>
    </row>
    <row r="411" spans="1:12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5">
        <v>50</v>
      </c>
      <c r="I411" s="5">
        <v>100</v>
      </c>
      <c r="J411" s="2" t="str">
        <f>TEXT(Table1[[#This Row],[Date]],"mmm")</f>
        <v>Nov</v>
      </c>
      <c r="K411" t="str" cm="1">
        <f t="array" ref="K411">_xlfn.IFS(Table1[[#This Row],[Age]]&lt;25,"18-24",Table1[[#This Row],[Age]]&lt;35,"25-34",Table1[[#This Row],[Age]]&lt;45,"35-44",Table1[[#This Row],[Age]]&lt;55,"45-54",TRUE,"55+")</f>
        <v>25-34</v>
      </c>
      <c r="L411" t="str">
        <f>"Q"&amp;ROUNDUP(MONTH(Table1[[#This Row],[Date]])/3,0)</f>
        <v>Q4</v>
      </c>
    </row>
    <row r="412" spans="1:12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5">
        <v>50</v>
      </c>
      <c r="I412" s="5">
        <v>200</v>
      </c>
      <c r="J412" s="2" t="str">
        <f>TEXT(Table1[[#This Row],[Date]],"mmm")</f>
        <v>May</v>
      </c>
      <c r="K412" t="str" cm="1">
        <f t="array" ref="K412">_xlfn.IFS(Table1[[#This Row],[Age]]&lt;25,"18-24",Table1[[#This Row],[Age]]&lt;35,"25-34",Table1[[#This Row],[Age]]&lt;45,"35-44",Table1[[#This Row],[Age]]&lt;55,"45-54",TRUE,"55+")</f>
        <v>55+</v>
      </c>
      <c r="L412" t="str">
        <f>"Q"&amp;ROUNDUP(MONTH(Table1[[#This Row],[Date]])/3,0)</f>
        <v>Q2</v>
      </c>
    </row>
    <row r="413" spans="1:12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5">
        <v>500</v>
      </c>
      <c r="I413" s="5">
        <v>2000</v>
      </c>
      <c r="J413" s="2" t="str">
        <f>TEXT(Table1[[#This Row],[Date]],"mmm")</f>
        <v>Sep</v>
      </c>
      <c r="K413" t="str" cm="1">
        <f t="array" ref="K413">_xlfn.IFS(Table1[[#This Row],[Age]]&lt;25,"18-24",Table1[[#This Row],[Age]]&lt;35,"25-34",Table1[[#This Row],[Age]]&lt;45,"35-44",Table1[[#This Row],[Age]]&lt;55,"45-54",TRUE,"55+")</f>
        <v>18-24</v>
      </c>
      <c r="L413" t="str">
        <f>"Q"&amp;ROUNDUP(MONTH(Table1[[#This Row],[Date]])/3,0)</f>
        <v>Q3</v>
      </c>
    </row>
    <row r="414" spans="1:12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5">
        <v>25</v>
      </c>
      <c r="I414" s="5">
        <v>75</v>
      </c>
      <c r="J414" s="2" t="str">
        <f>TEXT(Table1[[#This Row],[Date]],"mmm")</f>
        <v>Sep</v>
      </c>
      <c r="K414" t="str" cm="1">
        <f t="array" ref="K414">_xlfn.IFS(Table1[[#This Row],[Age]]&lt;25,"18-24",Table1[[#This Row],[Age]]&lt;35,"25-34",Table1[[#This Row],[Age]]&lt;45,"35-44",Table1[[#This Row],[Age]]&lt;55,"45-54",TRUE,"55+")</f>
        <v>35-44</v>
      </c>
      <c r="L414" t="str">
        <f>"Q"&amp;ROUNDUP(MONTH(Table1[[#This Row],[Date]])/3,0)</f>
        <v>Q3</v>
      </c>
    </row>
    <row r="415" spans="1:12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5">
        <v>25</v>
      </c>
      <c r="I415" s="5">
        <v>100</v>
      </c>
      <c r="J415" s="2" t="str">
        <f>TEXT(Table1[[#This Row],[Date]],"mmm")</f>
        <v>May</v>
      </c>
      <c r="K415" t="str" cm="1">
        <f t="array" ref="K415">_xlfn.IFS(Table1[[#This Row],[Age]]&lt;25,"18-24",Table1[[#This Row],[Age]]&lt;35,"25-34",Table1[[#This Row],[Age]]&lt;45,"35-44",Table1[[#This Row],[Age]]&lt;55,"45-54",TRUE,"55+")</f>
        <v>45-54</v>
      </c>
      <c r="L415" t="str">
        <f>"Q"&amp;ROUNDUP(MONTH(Table1[[#This Row],[Date]])/3,0)</f>
        <v>Q2</v>
      </c>
    </row>
    <row r="416" spans="1:12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5">
        <v>30</v>
      </c>
      <c r="I416" s="5">
        <v>60</v>
      </c>
      <c r="J416" s="2" t="str">
        <f>TEXT(Table1[[#This Row],[Date]],"mmm")</f>
        <v>Jan</v>
      </c>
      <c r="K416" t="str" cm="1">
        <f t="array" ref="K416">_xlfn.IFS(Table1[[#This Row],[Age]]&lt;25,"18-24",Table1[[#This Row],[Age]]&lt;35,"25-34",Table1[[#This Row],[Age]]&lt;45,"35-44",Table1[[#This Row],[Age]]&lt;55,"45-54",TRUE,"55+")</f>
        <v>45-54</v>
      </c>
      <c r="L416" t="str">
        <f>"Q"&amp;ROUNDUP(MONTH(Table1[[#This Row],[Date]])/3,0)</f>
        <v>Q1</v>
      </c>
    </row>
    <row r="417" spans="1:12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5">
        <v>500</v>
      </c>
      <c r="I417" s="5">
        <v>2000</v>
      </c>
      <c r="J417" s="2" t="str">
        <f>TEXT(Table1[[#This Row],[Date]],"mmm")</f>
        <v>Feb</v>
      </c>
      <c r="K417" t="str" cm="1">
        <f t="array" ref="K417">_xlfn.IFS(Table1[[#This Row],[Age]]&lt;25,"18-24",Table1[[#This Row],[Age]]&lt;35,"25-34",Table1[[#This Row],[Age]]&lt;45,"35-44",Table1[[#This Row],[Age]]&lt;55,"45-54",TRUE,"55+")</f>
        <v>45-54</v>
      </c>
      <c r="L417" t="str">
        <f>"Q"&amp;ROUNDUP(MONTH(Table1[[#This Row],[Date]])/3,0)</f>
        <v>Q1</v>
      </c>
    </row>
    <row r="418" spans="1:12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5">
        <v>300</v>
      </c>
      <c r="I418" s="5">
        <v>900</v>
      </c>
      <c r="J418" s="2" t="str">
        <f>TEXT(Table1[[#This Row],[Date]],"mmm")</f>
        <v>Nov</v>
      </c>
      <c r="K418" t="str" cm="1">
        <f t="array" ref="K418">_xlfn.IFS(Table1[[#This Row],[Age]]&lt;25,"18-24",Table1[[#This Row],[Age]]&lt;35,"25-34",Table1[[#This Row],[Age]]&lt;45,"35-44",Table1[[#This Row],[Age]]&lt;55,"45-54",TRUE,"55+")</f>
        <v>35-44</v>
      </c>
      <c r="L418" t="str">
        <f>"Q"&amp;ROUNDUP(MONTH(Table1[[#This Row],[Date]])/3,0)</f>
        <v>Q4</v>
      </c>
    </row>
    <row r="419" spans="1:12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5">
        <v>500</v>
      </c>
      <c r="I419" s="5">
        <v>1000</v>
      </c>
      <c r="J419" s="2" t="str">
        <f>TEXT(Table1[[#This Row],[Date]],"mmm")</f>
        <v>Aug</v>
      </c>
      <c r="K419" t="str" cm="1">
        <f t="array" ref="K419">_xlfn.IFS(Table1[[#This Row],[Age]]&lt;25,"18-24",Table1[[#This Row],[Age]]&lt;35,"25-34",Table1[[#This Row],[Age]]&lt;45,"35-44",Table1[[#This Row],[Age]]&lt;55,"45-54",TRUE,"55+")</f>
        <v>55+</v>
      </c>
      <c r="L419" t="str">
        <f>"Q"&amp;ROUNDUP(MONTH(Table1[[#This Row],[Date]])/3,0)</f>
        <v>Q3</v>
      </c>
    </row>
    <row r="420" spans="1:12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5">
        <v>30</v>
      </c>
      <c r="I420" s="5">
        <v>90</v>
      </c>
      <c r="J420" s="2" t="str">
        <f>TEXT(Table1[[#This Row],[Date]],"mmm")</f>
        <v>May</v>
      </c>
      <c r="K420" t="str" cm="1">
        <f t="array" ref="K420">_xlfn.IFS(Table1[[#This Row],[Age]]&lt;25,"18-24",Table1[[#This Row],[Age]]&lt;35,"25-34",Table1[[#This Row],[Age]]&lt;45,"35-44",Table1[[#This Row],[Age]]&lt;55,"45-54",TRUE,"55+")</f>
        <v>35-44</v>
      </c>
      <c r="L420" t="str">
        <f>"Q"&amp;ROUNDUP(MONTH(Table1[[#This Row],[Date]])/3,0)</f>
        <v>Q2</v>
      </c>
    </row>
    <row r="421" spans="1:12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5">
        <v>500</v>
      </c>
      <c r="I421" s="5">
        <v>2000</v>
      </c>
      <c r="J421" s="2" t="str">
        <f>TEXT(Table1[[#This Row],[Date]],"mmm")</f>
        <v>Jan</v>
      </c>
      <c r="K421" t="str" cm="1">
        <f t="array" ref="K421">_xlfn.IFS(Table1[[#This Row],[Age]]&lt;25,"18-24",Table1[[#This Row],[Age]]&lt;35,"25-34",Table1[[#This Row],[Age]]&lt;45,"35-44",Table1[[#This Row],[Age]]&lt;55,"45-54",TRUE,"55+")</f>
        <v>18-24</v>
      </c>
      <c r="L421" t="str">
        <f>"Q"&amp;ROUNDUP(MONTH(Table1[[#This Row],[Date]])/3,0)</f>
        <v>Q1</v>
      </c>
    </row>
    <row r="422" spans="1:12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5">
        <v>500</v>
      </c>
      <c r="I422" s="5">
        <v>1500</v>
      </c>
      <c r="J422" s="2" t="str">
        <f>TEXT(Table1[[#This Row],[Date]],"mmm")</f>
        <v>Jan</v>
      </c>
      <c r="K422" t="str" cm="1">
        <f t="array" ref="K422">_xlfn.IFS(Table1[[#This Row],[Age]]&lt;25,"18-24",Table1[[#This Row],[Age]]&lt;35,"25-34",Table1[[#This Row],[Age]]&lt;45,"35-44",Table1[[#This Row],[Age]]&lt;55,"45-54",TRUE,"55+")</f>
        <v>35-44</v>
      </c>
      <c r="L422" t="str">
        <f>"Q"&amp;ROUNDUP(MONTH(Table1[[#This Row],[Date]])/3,0)</f>
        <v>Q1</v>
      </c>
    </row>
    <row r="423" spans="1:12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5">
        <v>30</v>
      </c>
      <c r="I423" s="5">
        <v>90</v>
      </c>
      <c r="J423" s="2" t="str">
        <f>TEXT(Table1[[#This Row],[Date]],"mmm")</f>
        <v>Jun</v>
      </c>
      <c r="K423" t="str" cm="1">
        <f t="array" ref="K423">_xlfn.IFS(Table1[[#This Row],[Age]]&lt;25,"18-24",Table1[[#This Row],[Age]]&lt;35,"25-34",Table1[[#This Row],[Age]]&lt;45,"35-44",Table1[[#This Row],[Age]]&lt;55,"45-54",TRUE,"55+")</f>
        <v>25-34</v>
      </c>
      <c r="L423" t="str">
        <f>"Q"&amp;ROUNDUP(MONTH(Table1[[#This Row],[Date]])/3,0)</f>
        <v>Q2</v>
      </c>
    </row>
    <row r="424" spans="1:12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5">
        <v>25</v>
      </c>
      <c r="I424" s="5">
        <v>25</v>
      </c>
      <c r="J424" s="2" t="str">
        <f>TEXT(Table1[[#This Row],[Date]],"mmm")</f>
        <v>Mar</v>
      </c>
      <c r="K424" t="str" cm="1">
        <f t="array" ref="K424">_xlfn.IFS(Table1[[#This Row],[Age]]&lt;25,"18-24",Table1[[#This Row],[Age]]&lt;35,"25-34",Table1[[#This Row],[Age]]&lt;45,"35-44",Table1[[#This Row],[Age]]&lt;55,"45-54",TRUE,"55+")</f>
        <v>25-34</v>
      </c>
      <c r="L424" t="str">
        <f>"Q"&amp;ROUNDUP(MONTH(Table1[[#This Row],[Date]])/3,0)</f>
        <v>Q1</v>
      </c>
    </row>
    <row r="425" spans="1:12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5">
        <v>300</v>
      </c>
      <c r="I425" s="5">
        <v>1200</v>
      </c>
      <c r="J425" s="2" t="str">
        <f>TEXT(Table1[[#This Row],[Date]],"mmm")</f>
        <v>Nov</v>
      </c>
      <c r="K425" t="str" cm="1">
        <f t="array" ref="K425">_xlfn.IFS(Table1[[#This Row],[Age]]&lt;25,"18-24",Table1[[#This Row],[Age]]&lt;35,"25-34",Table1[[#This Row],[Age]]&lt;45,"35-44",Table1[[#This Row],[Age]]&lt;55,"45-54",TRUE,"55+")</f>
        <v>55+</v>
      </c>
      <c r="L425" t="str">
        <f>"Q"&amp;ROUNDUP(MONTH(Table1[[#This Row],[Date]])/3,0)</f>
        <v>Q4</v>
      </c>
    </row>
    <row r="426" spans="1:12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5">
        <v>30</v>
      </c>
      <c r="I426" s="5">
        <v>120</v>
      </c>
      <c r="J426" s="2" t="str">
        <f>TEXT(Table1[[#This Row],[Date]],"mmm")</f>
        <v>May</v>
      </c>
      <c r="K426" t="str" cm="1">
        <f t="array" ref="K426">_xlfn.IFS(Table1[[#This Row],[Age]]&lt;25,"18-24",Table1[[#This Row],[Age]]&lt;35,"25-34",Table1[[#This Row],[Age]]&lt;45,"35-44",Table1[[#This Row],[Age]]&lt;55,"45-54",TRUE,"55+")</f>
        <v>55+</v>
      </c>
      <c r="L426" t="str">
        <f>"Q"&amp;ROUNDUP(MONTH(Table1[[#This Row],[Date]])/3,0)</f>
        <v>Q2</v>
      </c>
    </row>
    <row r="427" spans="1:12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5">
        <v>50</v>
      </c>
      <c r="I427" s="5">
        <v>150</v>
      </c>
      <c r="J427" s="2" t="str">
        <f>TEXT(Table1[[#This Row],[Date]],"mmm")</f>
        <v>Mar</v>
      </c>
      <c r="K427" t="str" cm="1">
        <f t="array" ref="K427">_xlfn.IFS(Table1[[#This Row],[Age]]&lt;25,"18-24",Table1[[#This Row],[Age]]&lt;35,"25-34",Table1[[#This Row],[Age]]&lt;45,"35-44",Table1[[#This Row],[Age]]&lt;55,"45-54",TRUE,"55+")</f>
        <v>18-24</v>
      </c>
      <c r="L427" t="str">
        <f>"Q"&amp;ROUNDUP(MONTH(Table1[[#This Row],[Date]])/3,0)</f>
        <v>Q1</v>
      </c>
    </row>
    <row r="428" spans="1:12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5">
        <v>25</v>
      </c>
      <c r="I428" s="5">
        <v>25</v>
      </c>
      <c r="J428" s="2" t="str">
        <f>TEXT(Table1[[#This Row],[Date]],"mmm")</f>
        <v>Aug</v>
      </c>
      <c r="K428" t="str" cm="1">
        <f t="array" ref="K428">_xlfn.IFS(Table1[[#This Row],[Age]]&lt;25,"18-24",Table1[[#This Row],[Age]]&lt;35,"25-34",Table1[[#This Row],[Age]]&lt;45,"35-44",Table1[[#This Row],[Age]]&lt;55,"45-54",TRUE,"55+")</f>
        <v>25-34</v>
      </c>
      <c r="L428" t="str">
        <f>"Q"&amp;ROUNDUP(MONTH(Table1[[#This Row],[Date]])/3,0)</f>
        <v>Q3</v>
      </c>
    </row>
    <row r="429" spans="1:12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5">
        <v>50</v>
      </c>
      <c r="I429" s="5">
        <v>200</v>
      </c>
      <c r="J429" s="2" t="str">
        <f>TEXT(Table1[[#This Row],[Date]],"mmm")</f>
        <v>Oct</v>
      </c>
      <c r="K429" t="str" cm="1">
        <f t="array" ref="K429">_xlfn.IFS(Table1[[#This Row],[Age]]&lt;25,"18-24",Table1[[#This Row],[Age]]&lt;35,"25-34",Table1[[#This Row],[Age]]&lt;45,"35-44",Table1[[#This Row],[Age]]&lt;55,"45-54",TRUE,"55+")</f>
        <v>35-44</v>
      </c>
      <c r="L429" t="str">
        <f>"Q"&amp;ROUNDUP(MONTH(Table1[[#This Row],[Date]])/3,0)</f>
        <v>Q4</v>
      </c>
    </row>
    <row r="430" spans="1:12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5">
        <v>25</v>
      </c>
      <c r="I430" s="5">
        <v>50</v>
      </c>
      <c r="J430" s="2" t="str">
        <f>TEXT(Table1[[#This Row],[Date]],"mmm")</f>
        <v>Dec</v>
      </c>
      <c r="K430" t="str" cm="1">
        <f t="array" ref="K430">_xlfn.IFS(Table1[[#This Row],[Age]]&lt;25,"18-24",Table1[[#This Row],[Age]]&lt;35,"25-34",Table1[[#This Row],[Age]]&lt;45,"35-44",Table1[[#This Row],[Age]]&lt;55,"45-54",TRUE,"55+")</f>
        <v>55+</v>
      </c>
      <c r="L430" t="str">
        <f>"Q"&amp;ROUNDUP(MONTH(Table1[[#This Row],[Date]])/3,0)</f>
        <v>Q4</v>
      </c>
    </row>
    <row r="431" spans="1:12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5">
        <v>300</v>
      </c>
      <c r="I431" s="5">
        <v>900</v>
      </c>
      <c r="J431" s="2" t="str">
        <f>TEXT(Table1[[#This Row],[Date]],"mmm")</f>
        <v>Aug</v>
      </c>
      <c r="K431" t="str" cm="1">
        <f t="array" ref="K431">_xlfn.IFS(Table1[[#This Row],[Age]]&lt;25,"18-24",Table1[[#This Row],[Age]]&lt;35,"25-34",Table1[[#This Row],[Age]]&lt;45,"35-44",Table1[[#This Row],[Age]]&lt;55,"45-54",TRUE,"55+")</f>
        <v>35-44</v>
      </c>
      <c r="L431" t="str">
        <f>"Q"&amp;ROUNDUP(MONTH(Table1[[#This Row],[Date]])/3,0)</f>
        <v>Q3</v>
      </c>
    </row>
    <row r="432" spans="1:12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5">
        <v>300</v>
      </c>
      <c r="I432" s="5">
        <v>1200</v>
      </c>
      <c r="J432" s="2" t="str">
        <f>TEXT(Table1[[#This Row],[Date]],"mmm")</f>
        <v>Oct</v>
      </c>
      <c r="K432" t="str" cm="1">
        <f t="array" ref="K432">_xlfn.IFS(Table1[[#This Row],[Age]]&lt;25,"18-24",Table1[[#This Row],[Age]]&lt;35,"25-34",Table1[[#This Row],[Age]]&lt;45,"35-44",Table1[[#This Row],[Age]]&lt;55,"45-54",TRUE,"55+")</f>
        <v>55+</v>
      </c>
      <c r="L432" t="str">
        <f>"Q"&amp;ROUNDUP(MONTH(Table1[[#This Row],[Date]])/3,0)</f>
        <v>Q4</v>
      </c>
    </row>
    <row r="433" spans="1:12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5">
        <v>500</v>
      </c>
      <c r="I433" s="5">
        <v>1000</v>
      </c>
      <c r="J433" s="2" t="str">
        <f>TEXT(Table1[[#This Row],[Date]],"mmm")</f>
        <v>Jan</v>
      </c>
      <c r="K433" t="str" cm="1">
        <f t="array" ref="K433">_xlfn.IFS(Table1[[#This Row],[Age]]&lt;25,"18-24",Table1[[#This Row],[Age]]&lt;35,"25-34",Table1[[#This Row],[Age]]&lt;45,"35-44",Table1[[#This Row],[Age]]&lt;55,"45-54",TRUE,"55+")</f>
        <v>55+</v>
      </c>
      <c r="L433" t="str">
        <f>"Q"&amp;ROUNDUP(MONTH(Table1[[#This Row],[Date]])/3,0)</f>
        <v>Q1</v>
      </c>
    </row>
    <row r="434" spans="1:12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5">
        <v>50</v>
      </c>
      <c r="I434" s="5">
        <v>200</v>
      </c>
      <c r="J434" s="2" t="str">
        <f>TEXT(Table1[[#This Row],[Date]],"mmm")</f>
        <v>Feb</v>
      </c>
      <c r="K434" t="str" cm="1">
        <f t="array" ref="K434">_xlfn.IFS(Table1[[#This Row],[Age]]&lt;25,"18-24",Table1[[#This Row],[Age]]&lt;35,"25-34",Table1[[#This Row],[Age]]&lt;45,"35-44",Table1[[#This Row],[Age]]&lt;55,"45-54",TRUE,"55+")</f>
        <v>25-34</v>
      </c>
      <c r="L434" t="str">
        <f>"Q"&amp;ROUNDUP(MONTH(Table1[[#This Row],[Date]])/3,0)</f>
        <v>Q1</v>
      </c>
    </row>
    <row r="435" spans="1:12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5">
        <v>25</v>
      </c>
      <c r="I435" s="5">
        <v>50</v>
      </c>
      <c r="J435" s="2" t="str">
        <f>TEXT(Table1[[#This Row],[Date]],"mmm")</f>
        <v>Feb</v>
      </c>
      <c r="K435" t="str" cm="1">
        <f t="array" ref="K435">_xlfn.IFS(Table1[[#This Row],[Age]]&lt;25,"18-24",Table1[[#This Row],[Age]]&lt;35,"25-34",Table1[[#This Row],[Age]]&lt;45,"35-44",Table1[[#This Row],[Age]]&lt;55,"45-54",TRUE,"55+")</f>
        <v>35-44</v>
      </c>
      <c r="L435" t="str">
        <f>"Q"&amp;ROUNDUP(MONTH(Table1[[#This Row],[Date]])/3,0)</f>
        <v>Q1</v>
      </c>
    </row>
    <row r="436" spans="1:12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5">
        <v>300</v>
      </c>
      <c r="I436" s="5">
        <v>900</v>
      </c>
      <c r="J436" s="2" t="str">
        <f>TEXT(Table1[[#This Row],[Date]],"mmm")</f>
        <v>Dec</v>
      </c>
      <c r="K436" t="str" cm="1">
        <f t="array" ref="K436">_xlfn.IFS(Table1[[#This Row],[Age]]&lt;25,"18-24",Table1[[#This Row],[Age]]&lt;35,"25-34",Table1[[#This Row],[Age]]&lt;45,"35-44",Table1[[#This Row],[Age]]&lt;55,"45-54",TRUE,"55+")</f>
        <v>25-34</v>
      </c>
      <c r="L436" t="str">
        <f>"Q"&amp;ROUNDUP(MONTH(Table1[[#This Row],[Date]])/3,0)</f>
        <v>Q4</v>
      </c>
    </row>
    <row r="437" spans="1:12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5">
        <v>30</v>
      </c>
      <c r="I437" s="5">
        <v>120</v>
      </c>
      <c r="J437" s="2" t="str">
        <f>TEXT(Table1[[#This Row],[Date]],"mmm")</f>
        <v>Mar</v>
      </c>
      <c r="K437" t="str" cm="1">
        <f t="array" ref="K437">_xlfn.IFS(Table1[[#This Row],[Age]]&lt;25,"18-24",Table1[[#This Row],[Age]]&lt;35,"25-34",Table1[[#This Row],[Age]]&lt;45,"35-44",Table1[[#This Row],[Age]]&lt;55,"45-54",TRUE,"55+")</f>
        <v>55+</v>
      </c>
      <c r="L437" t="str">
        <f>"Q"&amp;ROUNDUP(MONTH(Table1[[#This Row],[Date]])/3,0)</f>
        <v>Q1</v>
      </c>
    </row>
    <row r="438" spans="1:12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5">
        <v>300</v>
      </c>
      <c r="I438" s="5">
        <v>1200</v>
      </c>
      <c r="J438" s="2" t="str">
        <f>TEXT(Table1[[#This Row],[Date]],"mmm")</f>
        <v>Oct</v>
      </c>
      <c r="K438" t="str" cm="1">
        <f t="array" ref="K438">_xlfn.IFS(Table1[[#This Row],[Age]]&lt;25,"18-24",Table1[[#This Row],[Age]]&lt;35,"25-34",Table1[[#This Row],[Age]]&lt;45,"35-44",Table1[[#This Row],[Age]]&lt;55,"45-54",TRUE,"55+")</f>
        <v>35-44</v>
      </c>
      <c r="L438" t="str">
        <f>"Q"&amp;ROUNDUP(MONTH(Table1[[#This Row],[Date]])/3,0)</f>
        <v>Q4</v>
      </c>
    </row>
    <row r="439" spans="1:12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5">
        <v>30</v>
      </c>
      <c r="I439" s="5">
        <v>30</v>
      </c>
      <c r="J439" s="2" t="str">
        <f>TEXT(Table1[[#This Row],[Date]],"mmm")</f>
        <v>Jan</v>
      </c>
      <c r="K439" t="str" cm="1">
        <f t="array" ref="K439">_xlfn.IFS(Table1[[#This Row],[Age]]&lt;25,"18-24",Table1[[#This Row],[Age]]&lt;35,"25-34",Table1[[#This Row],[Age]]&lt;45,"35-44",Table1[[#This Row],[Age]]&lt;55,"45-54",TRUE,"55+")</f>
        <v>35-44</v>
      </c>
      <c r="L439" t="str">
        <f>"Q"&amp;ROUNDUP(MONTH(Table1[[#This Row],[Date]])/3,0)</f>
        <v>Q1</v>
      </c>
    </row>
    <row r="440" spans="1:12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5">
        <v>25</v>
      </c>
      <c r="I440" s="5">
        <v>75</v>
      </c>
      <c r="J440" s="2" t="str">
        <f>TEXT(Table1[[#This Row],[Date]],"mmm")</f>
        <v>Jul</v>
      </c>
      <c r="K440" t="str" cm="1">
        <f t="array" ref="K440">_xlfn.IFS(Table1[[#This Row],[Age]]&lt;25,"18-24",Table1[[#This Row],[Age]]&lt;35,"25-34",Table1[[#This Row],[Age]]&lt;45,"35-44",Table1[[#This Row],[Age]]&lt;55,"45-54",TRUE,"55+")</f>
        <v>45-54</v>
      </c>
      <c r="L440" t="str">
        <f>"Q"&amp;ROUNDUP(MONTH(Table1[[#This Row],[Date]])/3,0)</f>
        <v>Q3</v>
      </c>
    </row>
    <row r="441" spans="1:12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5">
        <v>300</v>
      </c>
      <c r="I441" s="5">
        <v>600</v>
      </c>
      <c r="J441" s="2" t="str">
        <f>TEXT(Table1[[#This Row],[Date]],"mmm")</f>
        <v>Oct</v>
      </c>
      <c r="K441" t="str" cm="1">
        <f t="array" ref="K441">_xlfn.IFS(Table1[[#This Row],[Age]]&lt;25,"18-24",Table1[[#This Row],[Age]]&lt;35,"25-34",Table1[[#This Row],[Age]]&lt;45,"35-44",Table1[[#This Row],[Age]]&lt;55,"45-54",TRUE,"55+")</f>
        <v>55+</v>
      </c>
      <c r="L441" t="str">
        <f>"Q"&amp;ROUNDUP(MONTH(Table1[[#This Row],[Date]])/3,0)</f>
        <v>Q4</v>
      </c>
    </row>
    <row r="442" spans="1:12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5">
        <v>300</v>
      </c>
      <c r="I442" s="5">
        <v>1200</v>
      </c>
      <c r="J442" s="2" t="str">
        <f>TEXT(Table1[[#This Row],[Date]],"mmm")</f>
        <v>Oct</v>
      </c>
      <c r="K442" t="str" cm="1">
        <f t="array" ref="K442">_xlfn.IFS(Table1[[#This Row],[Age]]&lt;25,"18-24",Table1[[#This Row],[Age]]&lt;35,"25-34",Table1[[#This Row],[Age]]&lt;45,"35-44",Table1[[#This Row],[Age]]&lt;55,"45-54",TRUE,"55+")</f>
        <v>55+</v>
      </c>
      <c r="L442" t="str">
        <f>"Q"&amp;ROUNDUP(MONTH(Table1[[#This Row],[Date]])/3,0)</f>
        <v>Q4</v>
      </c>
    </row>
    <row r="443" spans="1:12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5">
        <v>25</v>
      </c>
      <c r="I443" s="5">
        <v>100</v>
      </c>
      <c r="J443" s="2" t="str">
        <f>TEXT(Table1[[#This Row],[Date]],"mmm")</f>
        <v>Mar</v>
      </c>
      <c r="K443" t="str" cm="1">
        <f t="array" ref="K443">_xlfn.IFS(Table1[[#This Row],[Age]]&lt;25,"18-24",Table1[[#This Row],[Age]]&lt;35,"25-34",Table1[[#This Row],[Age]]&lt;45,"35-44",Table1[[#This Row],[Age]]&lt;55,"45-54",TRUE,"55+")</f>
        <v>55+</v>
      </c>
      <c r="L443" t="str">
        <f>"Q"&amp;ROUNDUP(MONTH(Table1[[#This Row],[Date]])/3,0)</f>
        <v>Q1</v>
      </c>
    </row>
    <row r="444" spans="1:12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5">
        <v>300</v>
      </c>
      <c r="I444" s="5">
        <v>600</v>
      </c>
      <c r="J444" s="2" t="str">
        <f>TEXT(Table1[[#This Row],[Date]],"mmm")</f>
        <v>Aug</v>
      </c>
      <c r="K444" t="str" cm="1">
        <f t="array" ref="K444">_xlfn.IFS(Table1[[#This Row],[Age]]&lt;25,"18-24",Table1[[#This Row],[Age]]&lt;35,"25-34",Table1[[#This Row],[Age]]&lt;45,"35-44",Table1[[#This Row],[Age]]&lt;55,"45-54",TRUE,"55+")</f>
        <v>25-34</v>
      </c>
      <c r="L444" t="str">
        <f>"Q"&amp;ROUNDUP(MONTH(Table1[[#This Row],[Date]])/3,0)</f>
        <v>Q3</v>
      </c>
    </row>
    <row r="445" spans="1:12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5">
        <v>30</v>
      </c>
      <c r="I445" s="5">
        <v>90</v>
      </c>
      <c r="J445" s="2" t="str">
        <f>TEXT(Table1[[#This Row],[Date]],"mmm")</f>
        <v>Mar</v>
      </c>
      <c r="K445" t="str" cm="1">
        <f t="array" ref="K445">_xlfn.IFS(Table1[[#This Row],[Age]]&lt;25,"18-24",Table1[[#This Row],[Age]]&lt;35,"25-34",Table1[[#This Row],[Age]]&lt;45,"35-44",Table1[[#This Row],[Age]]&lt;55,"45-54",TRUE,"55+")</f>
        <v>55+</v>
      </c>
      <c r="L445" t="str">
        <f>"Q"&amp;ROUNDUP(MONTH(Table1[[#This Row],[Date]])/3,0)</f>
        <v>Q1</v>
      </c>
    </row>
    <row r="446" spans="1:12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5">
        <v>300</v>
      </c>
      <c r="I446" s="5">
        <v>300</v>
      </c>
      <c r="J446" s="2" t="str">
        <f>TEXT(Table1[[#This Row],[Date]],"mmm")</f>
        <v>Jan</v>
      </c>
      <c r="K446" t="str" cm="1">
        <f t="array" ref="K446">_xlfn.IFS(Table1[[#This Row],[Age]]&lt;25,"18-24",Table1[[#This Row],[Age]]&lt;35,"25-34",Table1[[#This Row],[Age]]&lt;45,"35-44",Table1[[#This Row],[Age]]&lt;55,"45-54",TRUE,"55+")</f>
        <v>45-54</v>
      </c>
      <c r="L446" t="str">
        <f>"Q"&amp;ROUNDUP(MONTH(Table1[[#This Row],[Date]])/3,0)</f>
        <v>Q1</v>
      </c>
    </row>
    <row r="447" spans="1:12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5">
        <v>50</v>
      </c>
      <c r="I447" s="5">
        <v>50</v>
      </c>
      <c r="J447" s="2" t="str">
        <f>TEXT(Table1[[#This Row],[Date]],"mmm")</f>
        <v>Jun</v>
      </c>
      <c r="K447" t="str" cm="1">
        <f t="array" ref="K447">_xlfn.IFS(Table1[[#This Row],[Age]]&lt;25,"18-24",Table1[[#This Row],[Age]]&lt;35,"25-34",Table1[[#This Row],[Age]]&lt;45,"35-44",Table1[[#This Row],[Age]]&lt;55,"45-54",TRUE,"55+")</f>
        <v>18-24</v>
      </c>
      <c r="L447" t="str">
        <f>"Q"&amp;ROUNDUP(MONTH(Table1[[#This Row],[Date]])/3,0)</f>
        <v>Q2</v>
      </c>
    </row>
    <row r="448" spans="1:12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5">
        <v>500</v>
      </c>
      <c r="I448" s="5">
        <v>2000</v>
      </c>
      <c r="J448" s="2" t="str">
        <f>TEXT(Table1[[#This Row],[Date]],"mmm")</f>
        <v>Jul</v>
      </c>
      <c r="K448" t="str" cm="1">
        <f t="array" ref="K448">_xlfn.IFS(Table1[[#This Row],[Age]]&lt;25,"18-24",Table1[[#This Row],[Age]]&lt;35,"25-34",Table1[[#This Row],[Age]]&lt;45,"35-44",Table1[[#This Row],[Age]]&lt;55,"45-54",TRUE,"55+")</f>
        <v>18-24</v>
      </c>
      <c r="L448" t="str">
        <f>"Q"&amp;ROUNDUP(MONTH(Table1[[#This Row],[Date]])/3,0)</f>
        <v>Q3</v>
      </c>
    </row>
    <row r="449" spans="1:12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5">
        <v>30</v>
      </c>
      <c r="I449" s="5">
        <v>60</v>
      </c>
      <c r="J449" s="2" t="str">
        <f>TEXT(Table1[[#This Row],[Date]],"mmm")</f>
        <v>Jan</v>
      </c>
      <c r="K449" t="str" cm="1">
        <f t="array" ref="K449">_xlfn.IFS(Table1[[#This Row],[Age]]&lt;25,"18-24",Table1[[#This Row],[Age]]&lt;35,"25-34",Table1[[#This Row],[Age]]&lt;45,"35-44",Table1[[#This Row],[Age]]&lt;55,"45-54",TRUE,"55+")</f>
        <v>45-54</v>
      </c>
      <c r="L449" t="str">
        <f>"Q"&amp;ROUNDUP(MONTH(Table1[[#This Row],[Date]])/3,0)</f>
        <v>Q1</v>
      </c>
    </row>
    <row r="450" spans="1:12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5">
        <v>50</v>
      </c>
      <c r="I450" s="5">
        <v>200</v>
      </c>
      <c r="J450" s="2" t="str">
        <f>TEXT(Table1[[#This Row],[Date]],"mmm")</f>
        <v>Jul</v>
      </c>
      <c r="K450" t="str" cm="1">
        <f t="array" ref="K450">_xlfn.IFS(Table1[[#This Row],[Age]]&lt;25,"18-24",Table1[[#This Row],[Age]]&lt;35,"25-34",Table1[[#This Row],[Age]]&lt;45,"35-44",Table1[[#This Row],[Age]]&lt;55,"45-54",TRUE,"55+")</f>
        <v>25-34</v>
      </c>
      <c r="L450" t="str">
        <f>"Q"&amp;ROUNDUP(MONTH(Table1[[#This Row],[Date]])/3,0)</f>
        <v>Q3</v>
      </c>
    </row>
    <row r="451" spans="1:12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5">
        <v>25</v>
      </c>
      <c r="I451" s="5">
        <v>50</v>
      </c>
      <c r="J451" s="2" t="str">
        <f>TEXT(Table1[[#This Row],[Date]],"mmm")</f>
        <v>Apr</v>
      </c>
      <c r="K451" t="str" cm="1">
        <f t="array" ref="K451">_xlfn.IFS(Table1[[#This Row],[Age]]&lt;25,"18-24",Table1[[#This Row],[Age]]&lt;35,"25-34",Table1[[#This Row],[Age]]&lt;45,"35-44",Table1[[#This Row],[Age]]&lt;55,"45-54",TRUE,"55+")</f>
        <v>55+</v>
      </c>
      <c r="L451" t="str">
        <f>"Q"&amp;ROUNDUP(MONTH(Table1[[#This Row],[Date]])/3,0)</f>
        <v>Q2</v>
      </c>
    </row>
    <row r="452" spans="1:12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5">
        <v>30</v>
      </c>
      <c r="I452" s="5">
        <v>30</v>
      </c>
      <c r="J452" s="2" t="str">
        <f>TEXT(Table1[[#This Row],[Date]],"mmm")</f>
        <v>Dec</v>
      </c>
      <c r="K452" t="str" cm="1">
        <f t="array" ref="K452">_xlfn.IFS(Table1[[#This Row],[Age]]&lt;25,"18-24",Table1[[#This Row],[Age]]&lt;35,"25-34",Table1[[#This Row],[Age]]&lt;45,"35-44",Table1[[#This Row],[Age]]&lt;55,"45-54",TRUE,"55+")</f>
        <v>45-54</v>
      </c>
      <c r="L452" t="str">
        <f>"Q"&amp;ROUNDUP(MONTH(Table1[[#This Row],[Date]])/3,0)</f>
        <v>Q4</v>
      </c>
    </row>
    <row r="453" spans="1:12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5">
        <v>500</v>
      </c>
      <c r="I453" s="5">
        <v>1500</v>
      </c>
      <c r="J453" s="2" t="str">
        <f>TEXT(Table1[[#This Row],[Date]],"mmm")</f>
        <v>May</v>
      </c>
      <c r="K453" t="str" cm="1">
        <f t="array" ref="K453">_xlfn.IFS(Table1[[#This Row],[Age]]&lt;25,"18-24",Table1[[#This Row],[Age]]&lt;35,"25-34",Table1[[#This Row],[Age]]&lt;45,"35-44",Table1[[#This Row],[Age]]&lt;55,"45-54",TRUE,"55+")</f>
        <v>45-54</v>
      </c>
      <c r="L453" t="str">
        <f>"Q"&amp;ROUNDUP(MONTH(Table1[[#This Row],[Date]])/3,0)</f>
        <v>Q2</v>
      </c>
    </row>
    <row r="454" spans="1:12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5">
        <v>500</v>
      </c>
      <c r="I454" s="5">
        <v>1000</v>
      </c>
      <c r="J454" s="2" t="str">
        <f>TEXT(Table1[[#This Row],[Date]],"mmm")</f>
        <v>Dec</v>
      </c>
      <c r="K454" t="str" cm="1">
        <f t="array" ref="K454">_xlfn.IFS(Table1[[#This Row],[Age]]&lt;25,"18-24",Table1[[#This Row],[Age]]&lt;35,"25-34",Table1[[#This Row],[Age]]&lt;45,"35-44",Table1[[#This Row],[Age]]&lt;55,"45-54",TRUE,"55+")</f>
        <v>25-34</v>
      </c>
      <c r="L454" t="str">
        <f>"Q"&amp;ROUNDUP(MONTH(Table1[[#This Row],[Date]])/3,0)</f>
        <v>Q4</v>
      </c>
    </row>
    <row r="455" spans="1:12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5">
        <v>25</v>
      </c>
      <c r="I455" s="5">
        <v>25</v>
      </c>
      <c r="J455" s="2" t="str">
        <f>TEXT(Table1[[#This Row],[Date]],"mmm")</f>
        <v>Feb</v>
      </c>
      <c r="K455" t="str" cm="1">
        <f t="array" ref="K455">_xlfn.IFS(Table1[[#This Row],[Age]]&lt;25,"18-24",Table1[[#This Row],[Age]]&lt;35,"25-34",Table1[[#This Row],[Age]]&lt;45,"35-44",Table1[[#This Row],[Age]]&lt;55,"45-54",TRUE,"55+")</f>
        <v>45-54</v>
      </c>
      <c r="L455" t="str">
        <f>"Q"&amp;ROUNDUP(MONTH(Table1[[#This Row],[Date]])/3,0)</f>
        <v>Q1</v>
      </c>
    </row>
    <row r="456" spans="1:12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5">
        <v>25</v>
      </c>
      <c r="I456" s="5">
        <v>100</v>
      </c>
      <c r="J456" s="2" t="str">
        <f>TEXT(Table1[[#This Row],[Date]],"mmm")</f>
        <v>Jul</v>
      </c>
      <c r="K456" t="str" cm="1">
        <f t="array" ref="K456">_xlfn.IFS(Table1[[#This Row],[Age]]&lt;25,"18-24",Table1[[#This Row],[Age]]&lt;35,"25-34",Table1[[#This Row],[Age]]&lt;45,"35-44",Table1[[#This Row],[Age]]&lt;55,"45-54",TRUE,"55+")</f>
        <v>25-34</v>
      </c>
      <c r="L456" t="str">
        <f>"Q"&amp;ROUNDUP(MONTH(Table1[[#This Row],[Date]])/3,0)</f>
        <v>Q3</v>
      </c>
    </row>
    <row r="457" spans="1:12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5">
        <v>30</v>
      </c>
      <c r="I457" s="5">
        <v>60</v>
      </c>
      <c r="J457" s="2" t="str">
        <f>TEXT(Table1[[#This Row],[Date]],"mmm")</f>
        <v>Oct</v>
      </c>
      <c r="K457" t="str" cm="1">
        <f t="array" ref="K457">_xlfn.IFS(Table1[[#This Row],[Age]]&lt;25,"18-24",Table1[[#This Row],[Age]]&lt;35,"25-34",Table1[[#This Row],[Age]]&lt;45,"35-44",Table1[[#This Row],[Age]]&lt;55,"45-54",TRUE,"55+")</f>
        <v>55+</v>
      </c>
      <c r="L457" t="str">
        <f>"Q"&amp;ROUNDUP(MONTH(Table1[[#This Row],[Date]])/3,0)</f>
        <v>Q4</v>
      </c>
    </row>
    <row r="458" spans="1:12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5">
        <v>300</v>
      </c>
      <c r="I458" s="5">
        <v>900</v>
      </c>
      <c r="J458" s="2" t="str">
        <f>TEXT(Table1[[#This Row],[Date]],"mmm")</f>
        <v>Jul</v>
      </c>
      <c r="K458" t="str" cm="1">
        <f t="array" ref="K458">_xlfn.IFS(Table1[[#This Row],[Age]]&lt;25,"18-24",Table1[[#This Row],[Age]]&lt;35,"25-34",Table1[[#This Row],[Age]]&lt;45,"35-44",Table1[[#This Row],[Age]]&lt;55,"45-54",TRUE,"55+")</f>
        <v>55+</v>
      </c>
      <c r="L458" t="str">
        <f>"Q"&amp;ROUNDUP(MONTH(Table1[[#This Row],[Date]])/3,0)</f>
        <v>Q3</v>
      </c>
    </row>
    <row r="459" spans="1:12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5">
        <v>25</v>
      </c>
      <c r="I459" s="5">
        <v>100</v>
      </c>
      <c r="J459" s="2" t="str">
        <f>TEXT(Table1[[#This Row],[Date]],"mmm")</f>
        <v>Nov</v>
      </c>
      <c r="K459" t="str" cm="1">
        <f t="array" ref="K459">_xlfn.IFS(Table1[[#This Row],[Age]]&lt;25,"18-24",Table1[[#This Row],[Age]]&lt;35,"25-34",Table1[[#This Row],[Age]]&lt;45,"35-44",Table1[[#This Row],[Age]]&lt;55,"45-54",TRUE,"55+")</f>
        <v>35-44</v>
      </c>
      <c r="L459" t="str">
        <f>"Q"&amp;ROUNDUP(MONTH(Table1[[#This Row],[Date]])/3,0)</f>
        <v>Q4</v>
      </c>
    </row>
    <row r="460" spans="1:12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5">
        <v>300</v>
      </c>
      <c r="I460" s="5">
        <v>1200</v>
      </c>
      <c r="J460" s="2" t="str">
        <f>TEXT(Table1[[#This Row],[Date]],"mmm")</f>
        <v>Mar</v>
      </c>
      <c r="K460" t="str" cm="1">
        <f t="array" ref="K460">_xlfn.IFS(Table1[[#This Row],[Age]]&lt;25,"18-24",Table1[[#This Row],[Age]]&lt;35,"25-34",Table1[[#This Row],[Age]]&lt;45,"35-44",Table1[[#This Row],[Age]]&lt;55,"45-54",TRUE,"55+")</f>
        <v>25-34</v>
      </c>
      <c r="L460" t="str">
        <f>"Q"&amp;ROUNDUP(MONTH(Table1[[#This Row],[Date]])/3,0)</f>
        <v>Q1</v>
      </c>
    </row>
    <row r="461" spans="1:12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5">
        <v>50</v>
      </c>
      <c r="I461" s="5">
        <v>50</v>
      </c>
      <c r="J461" s="2" t="str">
        <f>TEXT(Table1[[#This Row],[Date]],"mmm")</f>
        <v>May</v>
      </c>
      <c r="K461" t="str" cm="1">
        <f t="array" ref="K461">_xlfn.IFS(Table1[[#This Row],[Age]]&lt;25,"18-24",Table1[[#This Row],[Age]]&lt;35,"25-34",Table1[[#This Row],[Age]]&lt;45,"35-44",Table1[[#This Row],[Age]]&lt;55,"45-54",TRUE,"55+")</f>
        <v>35-44</v>
      </c>
      <c r="L461" t="str">
        <f>"Q"&amp;ROUNDUP(MONTH(Table1[[#This Row],[Date]])/3,0)</f>
        <v>Q2</v>
      </c>
    </row>
    <row r="462" spans="1:12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5">
        <v>500</v>
      </c>
      <c r="I462" s="5">
        <v>1000</v>
      </c>
      <c r="J462" s="2" t="str">
        <f>TEXT(Table1[[#This Row],[Date]],"mmm")</f>
        <v>Mar</v>
      </c>
      <c r="K462" t="str" cm="1">
        <f t="array" ref="K462">_xlfn.IFS(Table1[[#This Row],[Age]]&lt;25,"18-24",Table1[[#This Row],[Age]]&lt;35,"25-34",Table1[[#This Row],[Age]]&lt;45,"35-44",Table1[[#This Row],[Age]]&lt;55,"45-54",TRUE,"55+")</f>
        <v>18-24</v>
      </c>
      <c r="L462" t="str">
        <f>"Q"&amp;ROUNDUP(MONTH(Table1[[#This Row],[Date]])/3,0)</f>
        <v>Q1</v>
      </c>
    </row>
    <row r="463" spans="1:12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5">
        <v>300</v>
      </c>
      <c r="I463" s="5">
        <v>1200</v>
      </c>
      <c r="J463" s="2" t="str">
        <f>TEXT(Table1[[#This Row],[Date]],"mmm")</f>
        <v>Apr</v>
      </c>
      <c r="K463" t="str" cm="1">
        <f t="array" ref="K463">_xlfn.IFS(Table1[[#This Row],[Age]]&lt;25,"18-24",Table1[[#This Row],[Age]]&lt;35,"25-34",Table1[[#This Row],[Age]]&lt;45,"35-44",Table1[[#This Row],[Age]]&lt;55,"45-54",TRUE,"55+")</f>
        <v>55+</v>
      </c>
      <c r="L463" t="str">
        <f>"Q"&amp;ROUNDUP(MONTH(Table1[[#This Row],[Date]])/3,0)</f>
        <v>Q2</v>
      </c>
    </row>
    <row r="464" spans="1:12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5">
        <v>500</v>
      </c>
      <c r="I464" s="5">
        <v>1500</v>
      </c>
      <c r="J464" s="2" t="str">
        <f>TEXT(Table1[[#This Row],[Date]],"mmm")</f>
        <v>Jul</v>
      </c>
      <c r="K464" t="str" cm="1">
        <f t="array" ref="K464">_xlfn.IFS(Table1[[#This Row],[Age]]&lt;25,"18-24",Table1[[#This Row],[Age]]&lt;35,"25-34",Table1[[#This Row],[Age]]&lt;45,"35-44",Table1[[#This Row],[Age]]&lt;55,"45-54",TRUE,"55+")</f>
        <v>45-54</v>
      </c>
      <c r="L464" t="str">
        <f>"Q"&amp;ROUNDUP(MONTH(Table1[[#This Row],[Date]])/3,0)</f>
        <v>Q3</v>
      </c>
    </row>
    <row r="465" spans="1:12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5">
        <v>300</v>
      </c>
      <c r="I465" s="5">
        <v>600</v>
      </c>
      <c r="J465" s="2" t="str">
        <f>TEXT(Table1[[#This Row],[Date]],"mmm")</f>
        <v>Jan</v>
      </c>
      <c r="K465" t="str" cm="1">
        <f t="array" ref="K465">_xlfn.IFS(Table1[[#This Row],[Age]]&lt;25,"18-24",Table1[[#This Row],[Age]]&lt;35,"25-34",Table1[[#This Row],[Age]]&lt;45,"35-44",Table1[[#This Row],[Age]]&lt;55,"45-54",TRUE,"55+")</f>
        <v>35-44</v>
      </c>
      <c r="L465" t="str">
        <f>"Q"&amp;ROUNDUP(MONTH(Table1[[#This Row],[Date]])/3,0)</f>
        <v>Q1</v>
      </c>
    </row>
    <row r="466" spans="1:12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5">
        <v>50</v>
      </c>
      <c r="I466" s="5">
        <v>150</v>
      </c>
      <c r="J466" s="2" t="str">
        <f>TEXT(Table1[[#This Row],[Date]],"mmm")</f>
        <v>Apr</v>
      </c>
      <c r="K466" t="str" cm="1">
        <f t="array" ref="K466">_xlfn.IFS(Table1[[#This Row],[Age]]&lt;25,"18-24",Table1[[#This Row],[Age]]&lt;35,"25-34",Table1[[#This Row],[Age]]&lt;45,"35-44",Table1[[#This Row],[Age]]&lt;55,"45-54",TRUE,"55+")</f>
        <v>35-44</v>
      </c>
      <c r="L466" t="str">
        <f>"Q"&amp;ROUNDUP(MONTH(Table1[[#This Row],[Date]])/3,0)</f>
        <v>Q2</v>
      </c>
    </row>
    <row r="467" spans="1:12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5">
        <v>25</v>
      </c>
      <c r="I467" s="5">
        <v>100</v>
      </c>
      <c r="J467" s="2" t="str">
        <f>TEXT(Table1[[#This Row],[Date]],"mmm")</f>
        <v>Jun</v>
      </c>
      <c r="K467" t="str" cm="1">
        <f t="array" ref="K467">_xlfn.IFS(Table1[[#This Row],[Age]]&lt;25,"18-24",Table1[[#This Row],[Age]]&lt;35,"25-34",Table1[[#This Row],[Age]]&lt;45,"35-44",Table1[[#This Row],[Age]]&lt;55,"45-54",TRUE,"55+")</f>
        <v>55+</v>
      </c>
      <c r="L467" t="str">
        <f>"Q"&amp;ROUNDUP(MONTH(Table1[[#This Row],[Date]])/3,0)</f>
        <v>Q2</v>
      </c>
    </row>
    <row r="468" spans="1:12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5">
        <v>50</v>
      </c>
      <c r="I468" s="5">
        <v>150</v>
      </c>
      <c r="J468" s="2" t="str">
        <f>TEXT(Table1[[#This Row],[Date]],"mmm")</f>
        <v>Jul</v>
      </c>
      <c r="K468" t="str" cm="1">
        <f t="array" ref="K468">_xlfn.IFS(Table1[[#This Row],[Age]]&lt;25,"18-24",Table1[[#This Row],[Age]]&lt;35,"25-34",Table1[[#This Row],[Age]]&lt;45,"35-44",Table1[[#This Row],[Age]]&lt;55,"45-54",TRUE,"55+")</f>
        <v>45-54</v>
      </c>
      <c r="L468" t="str">
        <f>"Q"&amp;ROUNDUP(MONTH(Table1[[#This Row],[Date]])/3,0)</f>
        <v>Q3</v>
      </c>
    </row>
    <row r="469" spans="1:12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5">
        <v>25</v>
      </c>
      <c r="I469" s="5">
        <v>25</v>
      </c>
      <c r="J469" s="2" t="str">
        <f>TEXT(Table1[[#This Row],[Date]],"mmm")</f>
        <v>Dec</v>
      </c>
      <c r="K469" t="str" cm="1">
        <f t="array" ref="K469">_xlfn.IFS(Table1[[#This Row],[Age]]&lt;25,"18-24",Table1[[#This Row],[Age]]&lt;35,"25-34",Table1[[#This Row],[Age]]&lt;45,"35-44",Table1[[#This Row],[Age]]&lt;55,"45-54",TRUE,"55+")</f>
        <v>35-44</v>
      </c>
      <c r="L469" t="str">
        <f>"Q"&amp;ROUNDUP(MONTH(Table1[[#This Row],[Date]])/3,0)</f>
        <v>Q4</v>
      </c>
    </row>
    <row r="470" spans="1:12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5">
        <v>25</v>
      </c>
      <c r="I470" s="5">
        <v>75</v>
      </c>
      <c r="J470" s="2" t="str">
        <f>TEXT(Table1[[#This Row],[Date]],"mmm")</f>
        <v>May</v>
      </c>
      <c r="K470" t="str" cm="1">
        <f t="array" ref="K470">_xlfn.IFS(Table1[[#This Row],[Age]]&lt;25,"18-24",Table1[[#This Row],[Age]]&lt;35,"25-34",Table1[[#This Row],[Age]]&lt;45,"35-44",Table1[[#This Row],[Age]]&lt;55,"45-54",TRUE,"55+")</f>
        <v>18-24</v>
      </c>
      <c r="L470" t="str">
        <f>"Q"&amp;ROUNDUP(MONTH(Table1[[#This Row],[Date]])/3,0)</f>
        <v>Q2</v>
      </c>
    </row>
    <row r="471" spans="1:12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5">
        <v>500</v>
      </c>
      <c r="I471" s="5">
        <v>1000</v>
      </c>
      <c r="J471" s="2" t="str">
        <f>TEXT(Table1[[#This Row],[Date]],"mmm")</f>
        <v>May</v>
      </c>
      <c r="K471" t="str" cm="1">
        <f t="array" ref="K471">_xlfn.IFS(Table1[[#This Row],[Age]]&lt;25,"18-24",Table1[[#This Row],[Age]]&lt;35,"25-34",Table1[[#This Row],[Age]]&lt;45,"35-44",Table1[[#This Row],[Age]]&lt;55,"45-54",TRUE,"55+")</f>
        <v>55+</v>
      </c>
      <c r="L471" t="str">
        <f>"Q"&amp;ROUNDUP(MONTH(Table1[[#This Row],[Date]])/3,0)</f>
        <v>Q2</v>
      </c>
    </row>
    <row r="472" spans="1:12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5">
        <v>50</v>
      </c>
      <c r="I472" s="5">
        <v>150</v>
      </c>
      <c r="J472" s="2" t="str">
        <f>TEXT(Table1[[#This Row],[Date]],"mmm")</f>
        <v>Mar</v>
      </c>
      <c r="K472" t="str" cm="1">
        <f t="array" ref="K472">_xlfn.IFS(Table1[[#This Row],[Age]]&lt;25,"18-24",Table1[[#This Row],[Age]]&lt;35,"25-34",Table1[[#This Row],[Age]]&lt;45,"35-44",Table1[[#This Row],[Age]]&lt;55,"45-54",TRUE,"55+")</f>
        <v>25-34</v>
      </c>
      <c r="L472" t="str">
        <f>"Q"&amp;ROUNDUP(MONTH(Table1[[#This Row],[Date]])/3,0)</f>
        <v>Q1</v>
      </c>
    </row>
    <row r="473" spans="1:12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5">
        <v>300</v>
      </c>
      <c r="I473" s="5">
        <v>900</v>
      </c>
      <c r="J473" s="2" t="str">
        <f>TEXT(Table1[[#This Row],[Date]],"mmm")</f>
        <v>Dec</v>
      </c>
      <c r="K473" t="str" cm="1">
        <f t="array" ref="K473">_xlfn.IFS(Table1[[#This Row],[Age]]&lt;25,"18-24",Table1[[#This Row],[Age]]&lt;35,"25-34",Table1[[#This Row],[Age]]&lt;45,"35-44",Table1[[#This Row],[Age]]&lt;55,"45-54",TRUE,"55+")</f>
        <v>35-44</v>
      </c>
      <c r="L473" t="str">
        <f>"Q"&amp;ROUNDUP(MONTH(Table1[[#This Row],[Date]])/3,0)</f>
        <v>Q4</v>
      </c>
    </row>
    <row r="474" spans="1:12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5">
        <v>50</v>
      </c>
      <c r="I474" s="5">
        <v>50</v>
      </c>
      <c r="J474" s="2" t="str">
        <f>TEXT(Table1[[#This Row],[Date]],"mmm")</f>
        <v>Feb</v>
      </c>
      <c r="K474" t="str" cm="1">
        <f t="array" ref="K474">_xlfn.IFS(Table1[[#This Row],[Age]]&lt;25,"18-24",Table1[[#This Row],[Age]]&lt;35,"25-34",Table1[[#This Row],[Age]]&lt;45,"35-44",Table1[[#This Row],[Age]]&lt;55,"45-54",TRUE,"55+")</f>
        <v>55+</v>
      </c>
      <c r="L474" t="str">
        <f>"Q"&amp;ROUNDUP(MONTH(Table1[[#This Row],[Date]])/3,0)</f>
        <v>Q1</v>
      </c>
    </row>
    <row r="475" spans="1:12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5">
        <v>500</v>
      </c>
      <c r="I475" s="5">
        <v>1500</v>
      </c>
      <c r="J475" s="2" t="str">
        <f>TEXT(Table1[[#This Row],[Date]],"mmm")</f>
        <v>Jul</v>
      </c>
      <c r="K475" t="str" cm="1">
        <f t="array" ref="K475">_xlfn.IFS(Table1[[#This Row],[Age]]&lt;25,"18-24",Table1[[#This Row],[Age]]&lt;35,"25-34",Table1[[#This Row],[Age]]&lt;45,"35-44",Table1[[#This Row],[Age]]&lt;55,"45-54",TRUE,"55+")</f>
        <v>25-34</v>
      </c>
      <c r="L475" t="str">
        <f>"Q"&amp;ROUNDUP(MONTH(Table1[[#This Row],[Date]])/3,0)</f>
        <v>Q3</v>
      </c>
    </row>
    <row r="476" spans="1:12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5">
        <v>25</v>
      </c>
      <c r="I476" s="5">
        <v>75</v>
      </c>
      <c r="J476" s="2" t="str">
        <f>TEXT(Table1[[#This Row],[Date]],"mmm")</f>
        <v>Jan</v>
      </c>
      <c r="K476" t="str" cm="1">
        <f t="array" ref="K476">_xlfn.IFS(Table1[[#This Row],[Age]]&lt;25,"18-24",Table1[[#This Row],[Age]]&lt;35,"25-34",Table1[[#This Row],[Age]]&lt;45,"35-44",Table1[[#This Row],[Age]]&lt;55,"45-54",TRUE,"55+")</f>
        <v>25-34</v>
      </c>
      <c r="L476" t="str">
        <f>"Q"&amp;ROUNDUP(MONTH(Table1[[#This Row],[Date]])/3,0)</f>
        <v>Q1</v>
      </c>
    </row>
    <row r="477" spans="1:12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5">
        <v>500</v>
      </c>
      <c r="I477" s="5">
        <v>2000</v>
      </c>
      <c r="J477" s="2" t="str">
        <f>TEXT(Table1[[#This Row],[Date]],"mmm")</f>
        <v>Aug</v>
      </c>
      <c r="K477" t="str" cm="1">
        <f t="array" ref="K477">_xlfn.IFS(Table1[[#This Row],[Age]]&lt;25,"18-24",Table1[[#This Row],[Age]]&lt;35,"25-34",Table1[[#This Row],[Age]]&lt;45,"35-44",Table1[[#This Row],[Age]]&lt;55,"45-54",TRUE,"55+")</f>
        <v>25-34</v>
      </c>
      <c r="L477" t="str">
        <f>"Q"&amp;ROUNDUP(MONTH(Table1[[#This Row],[Date]])/3,0)</f>
        <v>Q3</v>
      </c>
    </row>
    <row r="478" spans="1:12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5">
        <v>30</v>
      </c>
      <c r="I478" s="5">
        <v>120</v>
      </c>
      <c r="J478" s="2" t="str">
        <f>TEXT(Table1[[#This Row],[Date]],"mmm")</f>
        <v>Apr</v>
      </c>
      <c r="K478" t="str" cm="1">
        <f t="array" ref="K478">_xlfn.IFS(Table1[[#This Row],[Age]]&lt;25,"18-24",Table1[[#This Row],[Age]]&lt;35,"25-34",Table1[[#This Row],[Age]]&lt;45,"35-44",Table1[[#This Row],[Age]]&lt;55,"45-54",TRUE,"55+")</f>
        <v>35-44</v>
      </c>
      <c r="L478" t="str">
        <f>"Q"&amp;ROUNDUP(MONTH(Table1[[#This Row],[Date]])/3,0)</f>
        <v>Q2</v>
      </c>
    </row>
    <row r="479" spans="1:12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5">
        <v>30</v>
      </c>
      <c r="I479" s="5">
        <v>60</v>
      </c>
      <c r="J479" s="2" t="str">
        <f>TEXT(Table1[[#This Row],[Date]],"mmm")</f>
        <v>Apr</v>
      </c>
      <c r="K479" t="str" cm="1">
        <f t="array" ref="K479">_xlfn.IFS(Table1[[#This Row],[Age]]&lt;25,"18-24",Table1[[#This Row],[Age]]&lt;35,"25-34",Table1[[#This Row],[Age]]&lt;45,"35-44",Table1[[#This Row],[Age]]&lt;55,"45-54",TRUE,"55+")</f>
        <v>55+</v>
      </c>
      <c r="L479" t="str">
        <f>"Q"&amp;ROUNDUP(MONTH(Table1[[#This Row],[Date]])/3,0)</f>
        <v>Q2</v>
      </c>
    </row>
    <row r="480" spans="1:12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5">
        <v>300</v>
      </c>
      <c r="I480" s="5">
        <v>1200</v>
      </c>
      <c r="J480" s="2" t="str">
        <f>TEXT(Table1[[#This Row],[Date]],"mmm")</f>
        <v>Aug</v>
      </c>
      <c r="K480" t="str" cm="1">
        <f t="array" ref="K480">_xlfn.IFS(Table1[[#This Row],[Age]]&lt;25,"18-24",Table1[[#This Row],[Age]]&lt;35,"25-34",Table1[[#This Row],[Age]]&lt;45,"35-44",Table1[[#This Row],[Age]]&lt;55,"45-54",TRUE,"55+")</f>
        <v>45-54</v>
      </c>
      <c r="L480" t="str">
        <f>"Q"&amp;ROUNDUP(MONTH(Table1[[#This Row],[Date]])/3,0)</f>
        <v>Q3</v>
      </c>
    </row>
    <row r="481" spans="1:12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5">
        <v>500</v>
      </c>
      <c r="I481" s="5">
        <v>2000</v>
      </c>
      <c r="J481" s="2" t="str">
        <f>TEXT(Table1[[#This Row],[Date]],"mmm")</f>
        <v>Jun</v>
      </c>
      <c r="K481" t="str" cm="1">
        <f t="array" ref="K481">_xlfn.IFS(Table1[[#This Row],[Age]]&lt;25,"18-24",Table1[[#This Row],[Age]]&lt;35,"25-34",Table1[[#This Row],[Age]]&lt;45,"35-44",Table1[[#This Row],[Age]]&lt;55,"45-54",TRUE,"55+")</f>
        <v>35-44</v>
      </c>
      <c r="L481" t="str">
        <f>"Q"&amp;ROUNDUP(MONTH(Table1[[#This Row],[Date]])/3,0)</f>
        <v>Q2</v>
      </c>
    </row>
    <row r="482" spans="1:12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5">
        <v>300</v>
      </c>
      <c r="I482" s="5">
        <v>1200</v>
      </c>
      <c r="J482" s="2" t="str">
        <f>TEXT(Table1[[#This Row],[Date]],"mmm")</f>
        <v>Jun</v>
      </c>
      <c r="K482" t="str" cm="1">
        <f t="array" ref="K482">_xlfn.IFS(Table1[[#This Row],[Age]]&lt;25,"18-24",Table1[[#This Row],[Age]]&lt;35,"25-34",Table1[[#This Row],[Age]]&lt;45,"35-44",Table1[[#This Row],[Age]]&lt;55,"45-54",TRUE,"55+")</f>
        <v>35-44</v>
      </c>
      <c r="L482" t="str">
        <f>"Q"&amp;ROUNDUP(MONTH(Table1[[#This Row],[Date]])/3,0)</f>
        <v>Q2</v>
      </c>
    </row>
    <row r="483" spans="1:12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5">
        <v>300</v>
      </c>
      <c r="I483" s="5">
        <v>1200</v>
      </c>
      <c r="J483" s="2" t="str">
        <f>TEXT(Table1[[#This Row],[Date]],"mmm")</f>
        <v>Apr</v>
      </c>
      <c r="K483" t="str" cm="1">
        <f t="array" ref="K483">_xlfn.IFS(Table1[[#This Row],[Age]]&lt;25,"18-24",Table1[[#This Row],[Age]]&lt;35,"25-34",Table1[[#This Row],[Age]]&lt;45,"35-44",Table1[[#This Row],[Age]]&lt;55,"45-54",TRUE,"55+")</f>
        <v>25-34</v>
      </c>
      <c r="L483" t="str">
        <f>"Q"&amp;ROUNDUP(MONTH(Table1[[#This Row],[Date]])/3,0)</f>
        <v>Q2</v>
      </c>
    </row>
    <row r="484" spans="1:12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5">
        <v>30</v>
      </c>
      <c r="I484" s="5">
        <v>30</v>
      </c>
      <c r="J484" s="2" t="str">
        <f>TEXT(Table1[[#This Row],[Date]],"mmm")</f>
        <v>Apr</v>
      </c>
      <c r="K484" t="str" cm="1">
        <f t="array" ref="K484">_xlfn.IFS(Table1[[#This Row],[Age]]&lt;25,"18-24",Table1[[#This Row],[Age]]&lt;35,"25-34",Table1[[#This Row],[Age]]&lt;45,"35-44",Table1[[#This Row],[Age]]&lt;55,"45-54",TRUE,"55+")</f>
        <v>55+</v>
      </c>
      <c r="L484" t="str">
        <f>"Q"&amp;ROUNDUP(MONTH(Table1[[#This Row],[Date]])/3,0)</f>
        <v>Q2</v>
      </c>
    </row>
    <row r="485" spans="1:12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5">
        <v>300</v>
      </c>
      <c r="I485" s="5">
        <v>1200</v>
      </c>
      <c r="J485" s="2" t="str">
        <f>TEXT(Table1[[#This Row],[Date]],"mmm")</f>
        <v>Jan</v>
      </c>
      <c r="K485" t="str" cm="1">
        <f t="array" ref="K485">_xlfn.IFS(Table1[[#This Row],[Age]]&lt;25,"18-24",Table1[[#This Row],[Age]]&lt;35,"25-34",Table1[[#This Row],[Age]]&lt;45,"35-44",Table1[[#This Row],[Age]]&lt;55,"45-54",TRUE,"55+")</f>
        <v>18-24</v>
      </c>
      <c r="L485" t="str">
        <f>"Q"&amp;ROUNDUP(MONTH(Table1[[#This Row],[Date]])/3,0)</f>
        <v>Q1</v>
      </c>
    </row>
    <row r="486" spans="1:12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5">
        <v>30</v>
      </c>
      <c r="I486" s="5">
        <v>30</v>
      </c>
      <c r="J486" s="2" t="str">
        <f>TEXT(Table1[[#This Row],[Date]],"mmm")</f>
        <v>Dec</v>
      </c>
      <c r="K486" t="str" cm="1">
        <f t="array" ref="K486">_xlfn.IFS(Table1[[#This Row],[Age]]&lt;25,"18-24",Table1[[#This Row],[Age]]&lt;35,"25-34",Table1[[#This Row],[Age]]&lt;45,"35-44",Table1[[#This Row],[Age]]&lt;55,"45-54",TRUE,"55+")</f>
        <v>18-24</v>
      </c>
      <c r="L486" t="str">
        <f>"Q"&amp;ROUNDUP(MONTH(Table1[[#This Row],[Date]])/3,0)</f>
        <v>Q4</v>
      </c>
    </row>
    <row r="487" spans="1:12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5">
        <v>25</v>
      </c>
      <c r="I487" s="5">
        <v>25</v>
      </c>
      <c r="J487" s="2" t="str">
        <f>TEXT(Table1[[#This Row],[Date]],"mmm")</f>
        <v>Apr</v>
      </c>
      <c r="K487" t="str" cm="1">
        <f t="array" ref="K487">_xlfn.IFS(Table1[[#This Row],[Age]]&lt;25,"18-24",Table1[[#This Row],[Age]]&lt;35,"25-34",Table1[[#This Row],[Age]]&lt;45,"35-44",Table1[[#This Row],[Age]]&lt;55,"45-54",TRUE,"55+")</f>
        <v>35-44</v>
      </c>
      <c r="L487" t="str">
        <f>"Q"&amp;ROUNDUP(MONTH(Table1[[#This Row],[Date]])/3,0)</f>
        <v>Q2</v>
      </c>
    </row>
    <row r="488" spans="1:12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5">
        <v>500</v>
      </c>
      <c r="I488" s="5">
        <v>2000</v>
      </c>
      <c r="J488" s="2" t="str">
        <f>TEXT(Table1[[#This Row],[Date]],"mmm")</f>
        <v>Jul</v>
      </c>
      <c r="K488" t="str" cm="1">
        <f t="array" ref="K488">_xlfn.IFS(Table1[[#This Row],[Age]]&lt;25,"18-24",Table1[[#This Row],[Age]]&lt;35,"25-34",Table1[[#This Row],[Age]]&lt;45,"35-44",Table1[[#This Row],[Age]]&lt;55,"45-54",TRUE,"55+")</f>
        <v>35-44</v>
      </c>
      <c r="L488" t="str">
        <f>"Q"&amp;ROUNDUP(MONTH(Table1[[#This Row],[Date]])/3,0)</f>
        <v>Q3</v>
      </c>
    </row>
    <row r="489" spans="1:12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5">
        <v>300</v>
      </c>
      <c r="I489" s="5">
        <v>900</v>
      </c>
      <c r="J489" s="2" t="str">
        <f>TEXT(Table1[[#This Row],[Date]],"mmm")</f>
        <v>Jun</v>
      </c>
      <c r="K489" t="str" cm="1">
        <f t="array" ref="K489">_xlfn.IFS(Table1[[#This Row],[Age]]&lt;25,"18-24",Table1[[#This Row],[Age]]&lt;35,"25-34",Table1[[#This Row],[Age]]&lt;45,"35-44",Table1[[#This Row],[Age]]&lt;55,"45-54",TRUE,"55+")</f>
        <v>45-54</v>
      </c>
      <c r="L489" t="str">
        <f>"Q"&amp;ROUNDUP(MONTH(Table1[[#This Row],[Date]])/3,0)</f>
        <v>Q2</v>
      </c>
    </row>
    <row r="490" spans="1:12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5">
        <v>30</v>
      </c>
      <c r="I490" s="5">
        <v>30</v>
      </c>
      <c r="J490" s="2" t="str">
        <f>TEXT(Table1[[#This Row],[Date]],"mmm")</f>
        <v>May</v>
      </c>
      <c r="K490" t="str" cm="1">
        <f t="array" ref="K490">_xlfn.IFS(Table1[[#This Row],[Age]]&lt;25,"18-24",Table1[[#This Row],[Age]]&lt;35,"25-34",Table1[[#This Row],[Age]]&lt;45,"35-44",Table1[[#This Row],[Age]]&lt;55,"45-54",TRUE,"55+")</f>
        <v>35-44</v>
      </c>
      <c r="L490" t="str">
        <f>"Q"&amp;ROUNDUP(MONTH(Table1[[#This Row],[Date]])/3,0)</f>
        <v>Q2</v>
      </c>
    </row>
    <row r="491" spans="1:12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5">
        <v>50</v>
      </c>
      <c r="I491" s="5">
        <v>150</v>
      </c>
      <c r="J491" s="2" t="str">
        <f>TEXT(Table1[[#This Row],[Date]],"mmm")</f>
        <v>Feb</v>
      </c>
      <c r="K491" t="str" cm="1">
        <f t="array" ref="K491">_xlfn.IFS(Table1[[#This Row],[Age]]&lt;25,"18-24",Table1[[#This Row],[Age]]&lt;35,"25-34",Table1[[#This Row],[Age]]&lt;45,"35-44",Table1[[#This Row],[Age]]&lt;55,"45-54",TRUE,"55+")</f>
        <v>25-34</v>
      </c>
      <c r="L491" t="str">
        <f>"Q"&amp;ROUNDUP(MONTH(Table1[[#This Row],[Date]])/3,0)</f>
        <v>Q1</v>
      </c>
    </row>
    <row r="492" spans="1:12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5">
        <v>300</v>
      </c>
      <c r="I492" s="5">
        <v>900</v>
      </c>
      <c r="J492" s="2" t="str">
        <f>TEXT(Table1[[#This Row],[Date]],"mmm")</f>
        <v>May</v>
      </c>
      <c r="K492" t="str" cm="1">
        <f t="array" ref="K492">_xlfn.IFS(Table1[[#This Row],[Age]]&lt;25,"18-24",Table1[[#This Row],[Age]]&lt;35,"25-34",Table1[[#This Row],[Age]]&lt;45,"35-44",Table1[[#This Row],[Age]]&lt;55,"45-54",TRUE,"55+")</f>
        <v>55+</v>
      </c>
      <c r="L492" t="str">
        <f>"Q"&amp;ROUNDUP(MONTH(Table1[[#This Row],[Date]])/3,0)</f>
        <v>Q2</v>
      </c>
    </row>
    <row r="493" spans="1:12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5">
        <v>25</v>
      </c>
      <c r="I493" s="5">
        <v>100</v>
      </c>
      <c r="J493" s="2" t="str">
        <f>TEXT(Table1[[#This Row],[Date]],"mmm")</f>
        <v>Jun</v>
      </c>
      <c r="K493" t="str" cm="1">
        <f t="array" ref="K493">_xlfn.IFS(Table1[[#This Row],[Age]]&lt;25,"18-24",Table1[[#This Row],[Age]]&lt;35,"25-34",Table1[[#This Row],[Age]]&lt;45,"35-44",Table1[[#This Row],[Age]]&lt;55,"45-54",TRUE,"55+")</f>
        <v>55+</v>
      </c>
      <c r="L493" t="str">
        <f>"Q"&amp;ROUNDUP(MONTH(Table1[[#This Row],[Date]])/3,0)</f>
        <v>Q2</v>
      </c>
    </row>
    <row r="494" spans="1:12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5">
        <v>25</v>
      </c>
      <c r="I494" s="5">
        <v>50</v>
      </c>
      <c r="J494" s="2" t="str">
        <f>TEXT(Table1[[#This Row],[Date]],"mmm")</f>
        <v>Nov</v>
      </c>
      <c r="K494" t="str" cm="1">
        <f t="array" ref="K494">_xlfn.IFS(Table1[[#This Row],[Age]]&lt;25,"18-24",Table1[[#This Row],[Age]]&lt;35,"25-34",Table1[[#This Row],[Age]]&lt;45,"35-44",Table1[[#This Row],[Age]]&lt;55,"45-54",TRUE,"55+")</f>
        <v>35-44</v>
      </c>
      <c r="L494" t="str">
        <f>"Q"&amp;ROUNDUP(MONTH(Table1[[#This Row],[Date]])/3,0)</f>
        <v>Q4</v>
      </c>
    </row>
    <row r="495" spans="1:12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5">
        <v>50</v>
      </c>
      <c r="I495" s="5">
        <v>200</v>
      </c>
      <c r="J495" s="2" t="str">
        <f>TEXT(Table1[[#This Row],[Date]],"mmm")</f>
        <v>Sep</v>
      </c>
      <c r="K495" t="str" cm="1">
        <f t="array" ref="K495">_xlfn.IFS(Table1[[#This Row],[Age]]&lt;25,"18-24",Table1[[#This Row],[Age]]&lt;35,"25-34",Table1[[#This Row],[Age]]&lt;45,"35-44",Table1[[#This Row],[Age]]&lt;55,"45-54",TRUE,"55+")</f>
        <v>35-44</v>
      </c>
      <c r="L495" t="str">
        <f>"Q"&amp;ROUNDUP(MONTH(Table1[[#This Row],[Date]])/3,0)</f>
        <v>Q3</v>
      </c>
    </row>
    <row r="496" spans="1:12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5">
        <v>30</v>
      </c>
      <c r="I496" s="5">
        <v>60</v>
      </c>
      <c r="J496" s="2" t="str">
        <f>TEXT(Table1[[#This Row],[Date]],"mmm")</f>
        <v>Jul</v>
      </c>
      <c r="K496" t="str" cm="1">
        <f t="array" ref="K496">_xlfn.IFS(Table1[[#This Row],[Age]]&lt;25,"18-24",Table1[[#This Row],[Age]]&lt;35,"25-34",Table1[[#This Row],[Age]]&lt;45,"35-44",Table1[[#This Row],[Age]]&lt;55,"45-54",TRUE,"55+")</f>
        <v>18-24</v>
      </c>
      <c r="L496" t="str">
        <f>"Q"&amp;ROUNDUP(MONTH(Table1[[#This Row],[Date]])/3,0)</f>
        <v>Q3</v>
      </c>
    </row>
    <row r="497" spans="1:12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5">
        <v>300</v>
      </c>
      <c r="I497" s="5">
        <v>600</v>
      </c>
      <c r="J497" s="2" t="str">
        <f>TEXT(Table1[[#This Row],[Date]],"mmm")</f>
        <v>Dec</v>
      </c>
      <c r="K497" t="str" cm="1">
        <f t="array" ref="K497">_xlfn.IFS(Table1[[#This Row],[Age]]&lt;25,"18-24",Table1[[#This Row],[Age]]&lt;35,"25-34",Table1[[#This Row],[Age]]&lt;45,"35-44",Table1[[#This Row],[Age]]&lt;55,"45-54",TRUE,"55+")</f>
        <v>18-24</v>
      </c>
      <c r="L497" t="str">
        <f>"Q"&amp;ROUNDUP(MONTH(Table1[[#This Row],[Date]])/3,0)</f>
        <v>Q4</v>
      </c>
    </row>
    <row r="498" spans="1:12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5">
        <v>30</v>
      </c>
      <c r="I498" s="5">
        <v>120</v>
      </c>
      <c r="J498" s="2" t="str">
        <f>TEXT(Table1[[#This Row],[Date]],"mmm")</f>
        <v>Oct</v>
      </c>
      <c r="K498" t="str" cm="1">
        <f t="array" ref="K498">_xlfn.IFS(Table1[[#This Row],[Age]]&lt;25,"18-24",Table1[[#This Row],[Age]]&lt;35,"25-34",Table1[[#This Row],[Age]]&lt;45,"35-44",Table1[[#This Row],[Age]]&lt;55,"45-54",TRUE,"55+")</f>
        <v>35-44</v>
      </c>
      <c r="L498" t="str">
        <f>"Q"&amp;ROUNDUP(MONTH(Table1[[#This Row],[Date]])/3,0)</f>
        <v>Q4</v>
      </c>
    </row>
    <row r="499" spans="1:12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5">
        <v>25</v>
      </c>
      <c r="I499" s="5">
        <v>100</v>
      </c>
      <c r="J499" s="2" t="str">
        <f>TEXT(Table1[[#This Row],[Date]],"mmm")</f>
        <v>Jun</v>
      </c>
      <c r="K499" t="str" cm="1">
        <f t="array" ref="K499">_xlfn.IFS(Table1[[#This Row],[Age]]&lt;25,"18-24",Table1[[#This Row],[Age]]&lt;35,"25-34",Table1[[#This Row],[Age]]&lt;45,"35-44",Table1[[#This Row],[Age]]&lt;55,"45-54",TRUE,"55+")</f>
        <v>45-54</v>
      </c>
      <c r="L499" t="str">
        <f>"Q"&amp;ROUNDUP(MONTH(Table1[[#This Row],[Date]])/3,0)</f>
        <v>Q2</v>
      </c>
    </row>
    <row r="500" spans="1:12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5">
        <v>30</v>
      </c>
      <c r="I500" s="5">
        <v>60</v>
      </c>
      <c r="J500" s="2" t="str">
        <f>TEXT(Table1[[#This Row],[Date]],"mmm")</f>
        <v>Jan</v>
      </c>
      <c r="K500" t="str" cm="1">
        <f t="array" ref="K500">_xlfn.IFS(Table1[[#This Row],[Age]]&lt;25,"18-24",Table1[[#This Row],[Age]]&lt;35,"25-34",Table1[[#This Row],[Age]]&lt;45,"35-44",Table1[[#This Row],[Age]]&lt;55,"45-54",TRUE,"55+")</f>
        <v>45-54</v>
      </c>
      <c r="L500" t="str">
        <f>"Q"&amp;ROUNDUP(MONTH(Table1[[#This Row],[Date]])/3,0)</f>
        <v>Q1</v>
      </c>
    </row>
    <row r="501" spans="1:12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5">
        <v>25</v>
      </c>
      <c r="I501" s="5">
        <v>100</v>
      </c>
      <c r="J501" s="2" t="str">
        <f>TEXT(Table1[[#This Row],[Date]],"mmm")</f>
        <v>Mar</v>
      </c>
      <c r="K501" t="str" cm="1">
        <f t="array" ref="K501">_xlfn.IFS(Table1[[#This Row],[Age]]&lt;25,"18-24",Table1[[#This Row],[Age]]&lt;35,"25-34",Table1[[#This Row],[Age]]&lt;45,"35-44",Table1[[#This Row],[Age]]&lt;55,"45-54",TRUE,"55+")</f>
        <v>55+</v>
      </c>
      <c r="L501" t="str">
        <f>"Q"&amp;ROUNDUP(MONTH(Table1[[#This Row],[Date]])/3,0)</f>
        <v>Q1</v>
      </c>
    </row>
    <row r="502" spans="1:12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5">
        <v>30</v>
      </c>
      <c r="I502" s="5">
        <v>60</v>
      </c>
      <c r="J502" s="2" t="str">
        <f>TEXT(Table1[[#This Row],[Date]],"mmm")</f>
        <v>May</v>
      </c>
      <c r="K502" t="str" cm="1">
        <f t="array" ref="K502">_xlfn.IFS(Table1[[#This Row],[Age]]&lt;25,"18-24",Table1[[#This Row],[Age]]&lt;35,"25-34",Table1[[#This Row],[Age]]&lt;45,"35-44",Table1[[#This Row],[Age]]&lt;55,"45-54",TRUE,"55+")</f>
        <v>35-44</v>
      </c>
      <c r="L502" t="str">
        <f>"Q"&amp;ROUNDUP(MONTH(Table1[[#This Row],[Date]])/3,0)</f>
        <v>Q2</v>
      </c>
    </row>
    <row r="503" spans="1:12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5">
        <v>50</v>
      </c>
      <c r="I503" s="5">
        <v>150</v>
      </c>
      <c r="J503" s="2" t="str">
        <f>TEXT(Table1[[#This Row],[Date]],"mmm")</f>
        <v>Apr</v>
      </c>
      <c r="K503" t="str" cm="1">
        <f t="array" ref="K503">_xlfn.IFS(Table1[[#This Row],[Age]]&lt;25,"18-24",Table1[[#This Row],[Age]]&lt;35,"25-34",Table1[[#This Row],[Age]]&lt;45,"35-44",Table1[[#This Row],[Age]]&lt;55,"45-54",TRUE,"55+")</f>
        <v>35-44</v>
      </c>
      <c r="L503" t="str">
        <f>"Q"&amp;ROUNDUP(MONTH(Table1[[#This Row],[Date]])/3,0)</f>
        <v>Q2</v>
      </c>
    </row>
    <row r="504" spans="1:12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5">
        <v>500</v>
      </c>
      <c r="I504" s="5">
        <v>2000</v>
      </c>
      <c r="J504" s="2" t="str">
        <f>TEXT(Table1[[#This Row],[Date]],"mmm")</f>
        <v>Oct</v>
      </c>
      <c r="K504" t="str" cm="1">
        <f t="array" ref="K504">_xlfn.IFS(Table1[[#This Row],[Age]]&lt;25,"18-24",Table1[[#This Row],[Age]]&lt;35,"25-34",Table1[[#This Row],[Age]]&lt;45,"35-44",Table1[[#This Row],[Age]]&lt;55,"45-54",TRUE,"55+")</f>
        <v>45-54</v>
      </c>
      <c r="L504" t="str">
        <f>"Q"&amp;ROUNDUP(MONTH(Table1[[#This Row],[Date]])/3,0)</f>
        <v>Q4</v>
      </c>
    </row>
    <row r="505" spans="1:12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5">
        <v>50</v>
      </c>
      <c r="I505" s="5">
        <v>150</v>
      </c>
      <c r="J505" s="2" t="str">
        <f>TEXT(Table1[[#This Row],[Date]],"mmm")</f>
        <v>May</v>
      </c>
      <c r="K505" t="str" cm="1">
        <f t="array" ref="K505">_xlfn.IFS(Table1[[#This Row],[Age]]&lt;25,"18-24",Table1[[#This Row],[Age]]&lt;35,"25-34",Table1[[#This Row],[Age]]&lt;45,"35-44",Table1[[#This Row],[Age]]&lt;55,"45-54",TRUE,"55+")</f>
        <v>35-44</v>
      </c>
      <c r="L505" t="str">
        <f>"Q"&amp;ROUNDUP(MONTH(Table1[[#This Row],[Date]])/3,0)</f>
        <v>Q2</v>
      </c>
    </row>
    <row r="506" spans="1:12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5">
        <v>50</v>
      </c>
      <c r="I506" s="5">
        <v>50</v>
      </c>
      <c r="J506" s="2" t="str">
        <f>TEXT(Table1[[#This Row],[Date]],"mmm")</f>
        <v>Jan</v>
      </c>
      <c r="K506" t="str" cm="1">
        <f t="array" ref="K506">_xlfn.IFS(Table1[[#This Row],[Age]]&lt;25,"18-24",Table1[[#This Row],[Age]]&lt;35,"25-34",Table1[[#This Row],[Age]]&lt;45,"35-44",Table1[[#This Row],[Age]]&lt;55,"45-54",TRUE,"55+")</f>
        <v>18-24</v>
      </c>
      <c r="L506" t="str">
        <f>"Q"&amp;ROUNDUP(MONTH(Table1[[#This Row],[Date]])/3,0)</f>
        <v>Q1</v>
      </c>
    </row>
    <row r="507" spans="1:12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5">
        <v>500</v>
      </c>
      <c r="I507" s="5">
        <v>1500</v>
      </c>
      <c r="J507" s="2" t="str">
        <f>TEXT(Table1[[#This Row],[Date]],"mmm")</f>
        <v>Feb</v>
      </c>
      <c r="K507" t="str" cm="1">
        <f t="array" ref="K507">_xlfn.IFS(Table1[[#This Row],[Age]]&lt;25,"18-24",Table1[[#This Row],[Age]]&lt;35,"25-34",Table1[[#This Row],[Age]]&lt;45,"35-44",Table1[[#This Row],[Age]]&lt;55,"45-54",TRUE,"55+")</f>
        <v>25-34</v>
      </c>
      <c r="L507" t="str">
        <f>"Q"&amp;ROUNDUP(MONTH(Table1[[#This Row],[Date]])/3,0)</f>
        <v>Q1</v>
      </c>
    </row>
    <row r="508" spans="1:12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5">
        <v>500</v>
      </c>
      <c r="I508" s="5">
        <v>1500</v>
      </c>
      <c r="J508" s="2" t="str">
        <f>TEXT(Table1[[#This Row],[Date]],"mmm")</f>
        <v>Nov</v>
      </c>
      <c r="K508" t="str" cm="1">
        <f t="array" ref="K508">_xlfn.IFS(Table1[[#This Row],[Age]]&lt;25,"18-24",Table1[[#This Row],[Age]]&lt;35,"25-34",Table1[[#This Row],[Age]]&lt;45,"35-44",Table1[[#This Row],[Age]]&lt;55,"45-54",TRUE,"55+")</f>
        <v>35-44</v>
      </c>
      <c r="L508" t="str">
        <f>"Q"&amp;ROUNDUP(MONTH(Table1[[#This Row],[Date]])/3,0)</f>
        <v>Q4</v>
      </c>
    </row>
    <row r="509" spans="1:12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5">
        <v>300</v>
      </c>
      <c r="I509" s="5">
        <v>600</v>
      </c>
      <c r="J509" s="2" t="str">
        <f>TEXT(Table1[[#This Row],[Date]],"mmm")</f>
        <v>Aug</v>
      </c>
      <c r="K509" t="str" cm="1">
        <f t="array" ref="K509">_xlfn.IFS(Table1[[#This Row],[Age]]&lt;25,"18-24",Table1[[#This Row],[Age]]&lt;35,"25-34",Table1[[#This Row],[Age]]&lt;45,"35-44",Table1[[#This Row],[Age]]&lt;55,"45-54",TRUE,"55+")</f>
        <v>55+</v>
      </c>
      <c r="L509" t="str">
        <f>"Q"&amp;ROUNDUP(MONTH(Table1[[#This Row],[Date]])/3,0)</f>
        <v>Q3</v>
      </c>
    </row>
    <row r="510" spans="1:12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5">
        <v>300</v>
      </c>
      <c r="I510" s="5">
        <v>900</v>
      </c>
      <c r="J510" s="2" t="str">
        <f>TEXT(Table1[[#This Row],[Date]],"mmm")</f>
        <v>Jun</v>
      </c>
      <c r="K510" t="str" cm="1">
        <f t="array" ref="K510">_xlfn.IFS(Table1[[#This Row],[Age]]&lt;25,"18-24",Table1[[#This Row],[Age]]&lt;35,"25-34",Table1[[#This Row],[Age]]&lt;45,"35-44",Table1[[#This Row],[Age]]&lt;55,"45-54",TRUE,"55+")</f>
        <v>35-44</v>
      </c>
      <c r="L510" t="str">
        <f>"Q"&amp;ROUNDUP(MONTH(Table1[[#This Row],[Date]])/3,0)</f>
        <v>Q2</v>
      </c>
    </row>
    <row r="511" spans="1:12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5">
        <v>50</v>
      </c>
      <c r="I511" s="5">
        <v>200</v>
      </c>
      <c r="J511" s="2" t="str">
        <f>TEXT(Table1[[#This Row],[Date]],"mmm")</f>
        <v>Jun</v>
      </c>
      <c r="K511" t="str" cm="1">
        <f t="array" ref="K511">_xlfn.IFS(Table1[[#This Row],[Age]]&lt;25,"18-24",Table1[[#This Row],[Age]]&lt;35,"25-34",Table1[[#This Row],[Age]]&lt;45,"35-44",Table1[[#This Row],[Age]]&lt;55,"45-54",TRUE,"55+")</f>
        <v>35-44</v>
      </c>
      <c r="L511" t="str">
        <f>"Q"&amp;ROUNDUP(MONTH(Table1[[#This Row],[Date]])/3,0)</f>
        <v>Q2</v>
      </c>
    </row>
    <row r="512" spans="1:12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5">
        <v>50</v>
      </c>
      <c r="I512" s="5">
        <v>100</v>
      </c>
      <c r="J512" s="2" t="str">
        <f>TEXT(Table1[[#This Row],[Date]],"mmm")</f>
        <v>Aug</v>
      </c>
      <c r="K512" t="str" cm="1">
        <f t="array" ref="K512">_xlfn.IFS(Table1[[#This Row],[Age]]&lt;25,"18-24",Table1[[#This Row],[Age]]&lt;35,"25-34",Table1[[#This Row],[Age]]&lt;45,"35-44",Table1[[#This Row],[Age]]&lt;55,"45-54",TRUE,"55+")</f>
        <v>45-54</v>
      </c>
      <c r="L512" t="str">
        <f>"Q"&amp;ROUNDUP(MONTH(Table1[[#This Row],[Date]])/3,0)</f>
        <v>Q3</v>
      </c>
    </row>
    <row r="513" spans="1:12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5">
        <v>25</v>
      </c>
      <c r="I513" s="5">
        <v>25</v>
      </c>
      <c r="J513" s="2" t="str">
        <f>TEXT(Table1[[#This Row],[Date]],"mmm")</f>
        <v>Nov</v>
      </c>
      <c r="K513" t="str" cm="1">
        <f t="array" ref="K513">_xlfn.IFS(Table1[[#This Row],[Age]]&lt;25,"18-24",Table1[[#This Row],[Age]]&lt;35,"25-34",Table1[[#This Row],[Age]]&lt;45,"35-44",Table1[[#This Row],[Age]]&lt;55,"45-54",TRUE,"55+")</f>
        <v>55+</v>
      </c>
      <c r="L513" t="str">
        <f>"Q"&amp;ROUNDUP(MONTH(Table1[[#This Row],[Date]])/3,0)</f>
        <v>Q4</v>
      </c>
    </row>
    <row r="514" spans="1:12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5">
        <v>25</v>
      </c>
      <c r="I514" s="5">
        <v>100</v>
      </c>
      <c r="J514" s="2" t="str">
        <f>TEXT(Table1[[#This Row],[Date]],"mmm")</f>
        <v>Sep</v>
      </c>
      <c r="K514" t="str" cm="1">
        <f t="array" ref="K514">_xlfn.IFS(Table1[[#This Row],[Age]]&lt;25,"18-24",Table1[[#This Row],[Age]]&lt;35,"25-34",Table1[[#This Row],[Age]]&lt;45,"35-44",Table1[[#This Row],[Age]]&lt;55,"45-54",TRUE,"55+")</f>
        <v>18-24</v>
      </c>
      <c r="L514" t="str">
        <f>"Q"&amp;ROUNDUP(MONTH(Table1[[#This Row],[Date]])/3,0)</f>
        <v>Q3</v>
      </c>
    </row>
    <row r="515" spans="1:12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5">
        <v>300</v>
      </c>
      <c r="I515" s="5">
        <v>300</v>
      </c>
      <c r="J515" s="2" t="str">
        <f>TEXT(Table1[[#This Row],[Date]],"mmm")</f>
        <v>Mar</v>
      </c>
      <c r="K515" t="str" cm="1">
        <f t="array" ref="K515">_xlfn.IFS(Table1[[#This Row],[Age]]&lt;25,"18-24",Table1[[#This Row],[Age]]&lt;35,"25-34",Table1[[#This Row],[Age]]&lt;45,"35-44",Table1[[#This Row],[Age]]&lt;55,"45-54",TRUE,"55+")</f>
        <v>18-24</v>
      </c>
      <c r="L515" t="str">
        <f>"Q"&amp;ROUNDUP(MONTH(Table1[[#This Row],[Date]])/3,0)</f>
        <v>Q1</v>
      </c>
    </row>
    <row r="516" spans="1:12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5">
        <v>300</v>
      </c>
      <c r="I516" s="5">
        <v>900</v>
      </c>
      <c r="J516" s="2" t="str">
        <f>TEXT(Table1[[#This Row],[Date]],"mmm")</f>
        <v>Jul</v>
      </c>
      <c r="K516" t="str" cm="1">
        <f t="array" ref="K516">_xlfn.IFS(Table1[[#This Row],[Age]]&lt;25,"18-24",Table1[[#This Row],[Age]]&lt;35,"25-34",Table1[[#This Row],[Age]]&lt;45,"35-44",Table1[[#This Row],[Age]]&lt;55,"45-54",TRUE,"55+")</f>
        <v>45-54</v>
      </c>
      <c r="L516" t="str">
        <f>"Q"&amp;ROUNDUP(MONTH(Table1[[#This Row],[Date]])/3,0)</f>
        <v>Q3</v>
      </c>
    </row>
    <row r="517" spans="1:12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5">
        <v>25</v>
      </c>
      <c r="I517" s="5">
        <v>100</v>
      </c>
      <c r="J517" s="2" t="str">
        <f>TEXT(Table1[[#This Row],[Date]],"mmm")</f>
        <v>Oct</v>
      </c>
      <c r="K517" t="str" cm="1">
        <f t="array" ref="K517">_xlfn.IFS(Table1[[#This Row],[Age]]&lt;25,"18-24",Table1[[#This Row],[Age]]&lt;35,"25-34",Table1[[#This Row],[Age]]&lt;45,"35-44",Table1[[#This Row],[Age]]&lt;55,"45-54",TRUE,"55+")</f>
        <v>25-34</v>
      </c>
      <c r="L517" t="str">
        <f>"Q"&amp;ROUNDUP(MONTH(Table1[[#This Row],[Date]])/3,0)</f>
        <v>Q4</v>
      </c>
    </row>
    <row r="518" spans="1:12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5">
        <v>25</v>
      </c>
      <c r="I518" s="5">
        <v>100</v>
      </c>
      <c r="J518" s="2" t="str">
        <f>TEXT(Table1[[#This Row],[Date]],"mmm")</f>
        <v>Apr</v>
      </c>
      <c r="K518" t="str" cm="1">
        <f t="array" ref="K518">_xlfn.IFS(Table1[[#This Row],[Age]]&lt;25,"18-24",Table1[[#This Row],[Age]]&lt;35,"25-34",Table1[[#This Row],[Age]]&lt;45,"35-44",Table1[[#This Row],[Age]]&lt;55,"45-54",TRUE,"55+")</f>
        <v>45-54</v>
      </c>
      <c r="L518" t="str">
        <f>"Q"&amp;ROUNDUP(MONTH(Table1[[#This Row],[Date]])/3,0)</f>
        <v>Q2</v>
      </c>
    </row>
    <row r="519" spans="1:12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5">
        <v>30</v>
      </c>
      <c r="I519" s="5">
        <v>30</v>
      </c>
      <c r="J519" s="2" t="str">
        <f>TEXT(Table1[[#This Row],[Date]],"mmm")</f>
        <v>May</v>
      </c>
      <c r="K519" t="str" cm="1">
        <f t="array" ref="K519">_xlfn.IFS(Table1[[#This Row],[Age]]&lt;25,"18-24",Table1[[#This Row],[Age]]&lt;35,"25-34",Table1[[#This Row],[Age]]&lt;45,"35-44",Table1[[#This Row],[Age]]&lt;55,"45-54",TRUE,"55+")</f>
        <v>35-44</v>
      </c>
      <c r="L519" t="str">
        <f>"Q"&amp;ROUNDUP(MONTH(Table1[[#This Row],[Date]])/3,0)</f>
        <v>Q2</v>
      </c>
    </row>
    <row r="520" spans="1:12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5">
        <v>30</v>
      </c>
      <c r="I520" s="5">
        <v>120</v>
      </c>
      <c r="J520" s="2" t="str">
        <f>TEXT(Table1[[#This Row],[Date]],"mmm")</f>
        <v>Jan</v>
      </c>
      <c r="K520" t="str" cm="1">
        <f t="array" ref="K520">_xlfn.IFS(Table1[[#This Row],[Age]]&lt;25,"18-24",Table1[[#This Row],[Age]]&lt;35,"25-34",Table1[[#This Row],[Age]]&lt;45,"35-44",Table1[[#This Row],[Age]]&lt;55,"45-54",TRUE,"55+")</f>
        <v>35-44</v>
      </c>
      <c r="L520" t="str">
        <f>"Q"&amp;ROUNDUP(MONTH(Table1[[#This Row],[Date]])/3,0)</f>
        <v>Q1</v>
      </c>
    </row>
    <row r="521" spans="1:12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5">
        <v>25</v>
      </c>
      <c r="I521" s="5">
        <v>100</v>
      </c>
      <c r="J521" s="2" t="str">
        <f>TEXT(Table1[[#This Row],[Date]],"mmm")</f>
        <v>Dec</v>
      </c>
      <c r="K521" t="str" cm="1">
        <f t="array" ref="K521">_xlfn.IFS(Table1[[#This Row],[Age]]&lt;25,"18-24",Table1[[#This Row],[Age]]&lt;35,"25-34",Table1[[#This Row],[Age]]&lt;45,"35-44",Table1[[#This Row],[Age]]&lt;55,"45-54",TRUE,"55+")</f>
        <v>45-54</v>
      </c>
      <c r="L521" t="str">
        <f>"Q"&amp;ROUNDUP(MONTH(Table1[[#This Row],[Date]])/3,0)</f>
        <v>Q4</v>
      </c>
    </row>
    <row r="522" spans="1:12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5">
        <v>30</v>
      </c>
      <c r="I522" s="5">
        <v>120</v>
      </c>
      <c r="J522" s="2" t="str">
        <f>TEXT(Table1[[#This Row],[Date]],"mmm")</f>
        <v>Aug</v>
      </c>
      <c r="K522" t="str" cm="1">
        <f t="array" ref="K522">_xlfn.IFS(Table1[[#This Row],[Age]]&lt;25,"18-24",Table1[[#This Row],[Age]]&lt;35,"25-34",Table1[[#This Row],[Age]]&lt;45,"35-44",Table1[[#This Row],[Age]]&lt;55,"45-54",TRUE,"55+")</f>
        <v>45-54</v>
      </c>
      <c r="L522" t="str">
        <f>"Q"&amp;ROUNDUP(MONTH(Table1[[#This Row],[Date]])/3,0)</f>
        <v>Q3</v>
      </c>
    </row>
    <row r="523" spans="1:12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5">
        <v>500</v>
      </c>
      <c r="I523" s="5">
        <v>1500</v>
      </c>
      <c r="J523" s="2" t="str">
        <f>TEXT(Table1[[#This Row],[Date]],"mmm")</f>
        <v>Jan</v>
      </c>
      <c r="K523" t="str" cm="1">
        <f t="array" ref="K523">_xlfn.IFS(Table1[[#This Row],[Age]]&lt;25,"18-24",Table1[[#This Row],[Age]]&lt;35,"25-34",Table1[[#This Row],[Age]]&lt;45,"35-44",Table1[[#This Row],[Age]]&lt;55,"45-54",TRUE,"55+")</f>
        <v>45-54</v>
      </c>
      <c r="L523" t="str">
        <f>"Q"&amp;ROUNDUP(MONTH(Table1[[#This Row],[Date]])/3,0)</f>
        <v>Q1</v>
      </c>
    </row>
    <row r="524" spans="1:12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5">
        <v>300</v>
      </c>
      <c r="I524" s="5">
        <v>300</v>
      </c>
      <c r="J524" s="2" t="str">
        <f>TEXT(Table1[[#This Row],[Date]],"mmm")</f>
        <v>Sep</v>
      </c>
      <c r="K524" t="str" cm="1">
        <f t="array" ref="K524">_xlfn.IFS(Table1[[#This Row],[Age]]&lt;25,"18-24",Table1[[#This Row],[Age]]&lt;35,"25-34",Table1[[#This Row],[Age]]&lt;45,"35-44",Table1[[#This Row],[Age]]&lt;55,"45-54",TRUE,"55+")</f>
        <v>55+</v>
      </c>
      <c r="L524" t="str">
        <f>"Q"&amp;ROUNDUP(MONTH(Table1[[#This Row],[Date]])/3,0)</f>
        <v>Q3</v>
      </c>
    </row>
    <row r="525" spans="1:12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5">
        <v>300</v>
      </c>
      <c r="I525" s="5">
        <v>1200</v>
      </c>
      <c r="J525" s="2" t="str">
        <f>TEXT(Table1[[#This Row],[Date]],"mmm")</f>
        <v>Oct</v>
      </c>
      <c r="K525" t="str" cm="1">
        <f t="array" ref="K525">_xlfn.IFS(Table1[[#This Row],[Age]]&lt;25,"18-24",Table1[[#This Row],[Age]]&lt;35,"25-34",Table1[[#This Row],[Age]]&lt;45,"35-44",Table1[[#This Row],[Age]]&lt;55,"45-54",TRUE,"55+")</f>
        <v>45-54</v>
      </c>
      <c r="L525" t="str">
        <f>"Q"&amp;ROUNDUP(MONTH(Table1[[#This Row],[Date]])/3,0)</f>
        <v>Q4</v>
      </c>
    </row>
    <row r="526" spans="1:12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5">
        <v>25</v>
      </c>
      <c r="I526" s="5">
        <v>50</v>
      </c>
      <c r="J526" s="2" t="str">
        <f>TEXT(Table1[[#This Row],[Date]],"mmm")</f>
        <v>Dec</v>
      </c>
      <c r="K526" t="str" cm="1">
        <f t="array" ref="K526">_xlfn.IFS(Table1[[#This Row],[Age]]&lt;25,"18-24",Table1[[#This Row],[Age]]&lt;35,"25-34",Table1[[#This Row],[Age]]&lt;45,"35-44",Table1[[#This Row],[Age]]&lt;55,"45-54",TRUE,"55+")</f>
        <v>45-54</v>
      </c>
      <c r="L526" t="str">
        <f>"Q"&amp;ROUNDUP(MONTH(Table1[[#This Row],[Date]])/3,0)</f>
        <v>Q4</v>
      </c>
    </row>
    <row r="527" spans="1:12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5">
        <v>50</v>
      </c>
      <c r="I527" s="5">
        <v>100</v>
      </c>
      <c r="J527" s="2" t="str">
        <f>TEXT(Table1[[#This Row],[Date]],"mmm")</f>
        <v>Dec</v>
      </c>
      <c r="K527" t="str" cm="1">
        <f t="array" ref="K527">_xlfn.IFS(Table1[[#This Row],[Age]]&lt;25,"18-24",Table1[[#This Row],[Age]]&lt;35,"25-34",Table1[[#This Row],[Age]]&lt;45,"35-44",Table1[[#This Row],[Age]]&lt;55,"45-54",TRUE,"55+")</f>
        <v>25-34</v>
      </c>
      <c r="L527" t="str">
        <f>"Q"&amp;ROUNDUP(MONTH(Table1[[#This Row],[Date]])/3,0)</f>
        <v>Q4</v>
      </c>
    </row>
    <row r="528" spans="1:12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5">
        <v>25</v>
      </c>
      <c r="I528" s="5">
        <v>50</v>
      </c>
      <c r="J528" s="2" t="str">
        <f>TEXT(Table1[[#This Row],[Date]],"mmm")</f>
        <v>Apr</v>
      </c>
      <c r="K528" t="str" cm="1">
        <f t="array" ref="K528">_xlfn.IFS(Table1[[#This Row],[Age]]&lt;25,"18-24",Table1[[#This Row],[Age]]&lt;35,"25-34",Table1[[#This Row],[Age]]&lt;45,"35-44",Table1[[#This Row],[Age]]&lt;55,"45-54",TRUE,"55+")</f>
        <v>55+</v>
      </c>
      <c r="L528" t="str">
        <f>"Q"&amp;ROUNDUP(MONTH(Table1[[#This Row],[Date]])/3,0)</f>
        <v>Q2</v>
      </c>
    </row>
    <row r="529" spans="1:12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5">
        <v>30</v>
      </c>
      <c r="I529" s="5">
        <v>60</v>
      </c>
      <c r="J529" s="2" t="str">
        <f>TEXT(Table1[[#This Row],[Date]],"mmm")</f>
        <v>Jul</v>
      </c>
      <c r="K529" t="str" cm="1">
        <f t="array" ref="K529">_xlfn.IFS(Table1[[#This Row],[Age]]&lt;25,"18-24",Table1[[#This Row],[Age]]&lt;35,"25-34",Table1[[#This Row],[Age]]&lt;45,"35-44",Table1[[#This Row],[Age]]&lt;55,"45-54",TRUE,"55+")</f>
        <v>35-44</v>
      </c>
      <c r="L529" t="str">
        <f>"Q"&amp;ROUNDUP(MONTH(Table1[[#This Row],[Date]])/3,0)</f>
        <v>Q3</v>
      </c>
    </row>
    <row r="530" spans="1:12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5">
        <v>50</v>
      </c>
      <c r="I530" s="5">
        <v>150</v>
      </c>
      <c r="J530" s="2" t="str">
        <f>TEXT(Table1[[#This Row],[Date]],"mmm")</f>
        <v>Aug</v>
      </c>
      <c r="K530" t="str" cm="1">
        <f t="array" ref="K530">_xlfn.IFS(Table1[[#This Row],[Age]]&lt;25,"18-24",Table1[[#This Row],[Age]]&lt;35,"25-34",Table1[[#This Row],[Age]]&lt;45,"35-44",Table1[[#This Row],[Age]]&lt;55,"45-54",TRUE,"55+")</f>
        <v>35-44</v>
      </c>
      <c r="L530" t="str">
        <f>"Q"&amp;ROUNDUP(MONTH(Table1[[#This Row],[Date]])/3,0)</f>
        <v>Q3</v>
      </c>
    </row>
    <row r="531" spans="1:12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5">
        <v>30</v>
      </c>
      <c r="I531" s="5">
        <v>120</v>
      </c>
      <c r="J531" s="2" t="str">
        <f>TEXT(Table1[[#This Row],[Date]],"mmm")</f>
        <v>Feb</v>
      </c>
      <c r="K531" t="str" cm="1">
        <f t="array" ref="K531">_xlfn.IFS(Table1[[#This Row],[Age]]&lt;25,"18-24",Table1[[#This Row],[Age]]&lt;35,"25-34",Table1[[#This Row],[Age]]&lt;45,"35-44",Table1[[#This Row],[Age]]&lt;55,"45-54",TRUE,"55+")</f>
        <v>18-24</v>
      </c>
      <c r="L531" t="str">
        <f>"Q"&amp;ROUNDUP(MONTH(Table1[[#This Row],[Date]])/3,0)</f>
        <v>Q1</v>
      </c>
    </row>
    <row r="532" spans="1:12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5">
        <v>500</v>
      </c>
      <c r="I532" s="5">
        <v>500</v>
      </c>
      <c r="J532" s="2" t="str">
        <f>TEXT(Table1[[#This Row],[Date]],"mmm")</f>
        <v>Dec</v>
      </c>
      <c r="K532" t="str" cm="1">
        <f t="array" ref="K532">_xlfn.IFS(Table1[[#This Row],[Age]]&lt;25,"18-24",Table1[[#This Row],[Age]]&lt;35,"25-34",Table1[[#This Row],[Age]]&lt;45,"35-44",Table1[[#This Row],[Age]]&lt;55,"45-54",TRUE,"55+")</f>
        <v>25-34</v>
      </c>
      <c r="L532" t="str">
        <f>"Q"&amp;ROUNDUP(MONTH(Table1[[#This Row],[Date]])/3,0)</f>
        <v>Q4</v>
      </c>
    </row>
    <row r="533" spans="1:12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5">
        <v>30</v>
      </c>
      <c r="I533" s="5">
        <v>120</v>
      </c>
      <c r="J533" s="2" t="str">
        <f>TEXT(Table1[[#This Row],[Date]],"mmm")</f>
        <v>Jun</v>
      </c>
      <c r="K533" t="str" cm="1">
        <f t="array" ref="K533">_xlfn.IFS(Table1[[#This Row],[Age]]&lt;25,"18-24",Table1[[#This Row],[Age]]&lt;35,"25-34",Table1[[#This Row],[Age]]&lt;45,"35-44",Table1[[#This Row],[Age]]&lt;55,"45-54",TRUE,"55+")</f>
        <v>55+</v>
      </c>
      <c r="L533" t="str">
        <f>"Q"&amp;ROUNDUP(MONTH(Table1[[#This Row],[Date]])/3,0)</f>
        <v>Q2</v>
      </c>
    </row>
    <row r="534" spans="1:12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5">
        <v>500</v>
      </c>
      <c r="I534" s="5">
        <v>1500</v>
      </c>
      <c r="J534" s="2" t="str">
        <f>TEXT(Table1[[#This Row],[Date]],"mmm")</f>
        <v>Nov</v>
      </c>
      <c r="K534" t="str" cm="1">
        <f t="array" ref="K534">_xlfn.IFS(Table1[[#This Row],[Age]]&lt;25,"18-24",Table1[[#This Row],[Age]]&lt;35,"25-34",Table1[[#This Row],[Age]]&lt;45,"35-44",Table1[[#This Row],[Age]]&lt;55,"45-54",TRUE,"55+")</f>
        <v>18-24</v>
      </c>
      <c r="L534" t="str">
        <f>"Q"&amp;ROUNDUP(MONTH(Table1[[#This Row],[Date]])/3,0)</f>
        <v>Q4</v>
      </c>
    </row>
    <row r="535" spans="1:12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5">
        <v>500</v>
      </c>
      <c r="I535" s="5">
        <v>1000</v>
      </c>
      <c r="J535" s="2" t="str">
        <f>TEXT(Table1[[#This Row],[Date]],"mmm")</f>
        <v>Jun</v>
      </c>
      <c r="K535" t="str" cm="1">
        <f t="array" ref="K535">_xlfn.IFS(Table1[[#This Row],[Age]]&lt;25,"18-24",Table1[[#This Row],[Age]]&lt;35,"25-34",Table1[[#This Row],[Age]]&lt;45,"35-44",Table1[[#This Row],[Age]]&lt;55,"45-54",TRUE,"55+")</f>
        <v>45-54</v>
      </c>
      <c r="L535" t="str">
        <f>"Q"&amp;ROUNDUP(MONTH(Table1[[#This Row],[Date]])/3,0)</f>
        <v>Q2</v>
      </c>
    </row>
    <row r="536" spans="1:12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5">
        <v>30</v>
      </c>
      <c r="I536" s="5">
        <v>90</v>
      </c>
      <c r="J536" s="2" t="str">
        <f>TEXT(Table1[[#This Row],[Date]],"mmm")</f>
        <v>Dec</v>
      </c>
      <c r="K536" t="str" cm="1">
        <f t="array" ref="K536">_xlfn.IFS(Table1[[#This Row],[Age]]&lt;25,"18-24",Table1[[#This Row],[Age]]&lt;35,"25-34",Table1[[#This Row],[Age]]&lt;45,"35-44",Table1[[#This Row],[Age]]&lt;55,"45-54",TRUE,"55+")</f>
        <v>45-54</v>
      </c>
      <c r="L536" t="str">
        <f>"Q"&amp;ROUNDUP(MONTH(Table1[[#This Row],[Date]])/3,0)</f>
        <v>Q4</v>
      </c>
    </row>
    <row r="537" spans="1:12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5">
        <v>30</v>
      </c>
      <c r="I537" s="5">
        <v>120</v>
      </c>
      <c r="J537" s="2" t="str">
        <f>TEXT(Table1[[#This Row],[Date]],"mmm")</f>
        <v>Mar</v>
      </c>
      <c r="K537" t="str" cm="1">
        <f t="array" ref="K537">_xlfn.IFS(Table1[[#This Row],[Age]]&lt;25,"18-24",Table1[[#This Row],[Age]]&lt;35,"25-34",Table1[[#This Row],[Age]]&lt;45,"35-44",Table1[[#This Row],[Age]]&lt;55,"45-54",TRUE,"55+")</f>
        <v>55+</v>
      </c>
      <c r="L537" t="str">
        <f>"Q"&amp;ROUNDUP(MONTH(Table1[[#This Row],[Date]])/3,0)</f>
        <v>Q1</v>
      </c>
    </row>
    <row r="538" spans="1:12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5">
        <v>500</v>
      </c>
      <c r="I538" s="5">
        <v>500</v>
      </c>
      <c r="J538" s="2" t="str">
        <f>TEXT(Table1[[#This Row],[Date]],"mmm")</f>
        <v>Jun</v>
      </c>
      <c r="K538" t="str" cm="1">
        <f t="array" ref="K538">_xlfn.IFS(Table1[[#This Row],[Age]]&lt;25,"18-24",Table1[[#This Row],[Age]]&lt;35,"25-34",Table1[[#This Row],[Age]]&lt;45,"35-44",Table1[[#This Row],[Age]]&lt;55,"45-54",TRUE,"55+")</f>
        <v>18-24</v>
      </c>
      <c r="L538" t="str">
        <f>"Q"&amp;ROUNDUP(MONTH(Table1[[#This Row],[Date]])/3,0)</f>
        <v>Q2</v>
      </c>
    </row>
    <row r="539" spans="1:12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5">
        <v>50</v>
      </c>
      <c r="I539" s="5">
        <v>150</v>
      </c>
      <c r="J539" s="2" t="str">
        <f>TEXT(Table1[[#This Row],[Date]],"mmm")</f>
        <v>Sep</v>
      </c>
      <c r="K539" t="str" cm="1">
        <f t="array" ref="K539">_xlfn.IFS(Table1[[#This Row],[Age]]&lt;25,"18-24",Table1[[#This Row],[Age]]&lt;35,"25-34",Table1[[#This Row],[Age]]&lt;45,"35-44",Table1[[#This Row],[Age]]&lt;55,"45-54",TRUE,"55+")</f>
        <v>18-24</v>
      </c>
      <c r="L539" t="str">
        <f>"Q"&amp;ROUNDUP(MONTH(Table1[[#This Row],[Date]])/3,0)</f>
        <v>Q3</v>
      </c>
    </row>
    <row r="540" spans="1:12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5">
        <v>500</v>
      </c>
      <c r="I540" s="5">
        <v>500</v>
      </c>
      <c r="J540" s="2" t="str">
        <f>TEXT(Table1[[#This Row],[Date]],"mmm")</f>
        <v>Jun</v>
      </c>
      <c r="K540" t="str" cm="1">
        <f t="array" ref="K540">_xlfn.IFS(Table1[[#This Row],[Age]]&lt;25,"18-24",Table1[[#This Row],[Age]]&lt;35,"25-34",Table1[[#This Row],[Age]]&lt;45,"35-44",Table1[[#This Row],[Age]]&lt;55,"45-54",TRUE,"55+")</f>
        <v>25-34</v>
      </c>
      <c r="L540" t="str">
        <f>"Q"&amp;ROUNDUP(MONTH(Table1[[#This Row],[Date]])/3,0)</f>
        <v>Q2</v>
      </c>
    </row>
    <row r="541" spans="1:12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5">
        <v>300</v>
      </c>
      <c r="I541" s="5">
        <v>900</v>
      </c>
      <c r="J541" s="2" t="str">
        <f>TEXT(Table1[[#This Row],[Date]],"mmm")</f>
        <v>Dec</v>
      </c>
      <c r="K541" t="str" cm="1">
        <f t="array" ref="K541">_xlfn.IFS(Table1[[#This Row],[Age]]&lt;25,"18-24",Table1[[#This Row],[Age]]&lt;35,"25-34",Table1[[#This Row],[Age]]&lt;45,"35-44",Table1[[#This Row],[Age]]&lt;55,"45-54",TRUE,"55+")</f>
        <v>45-54</v>
      </c>
      <c r="L541" t="str">
        <f>"Q"&amp;ROUNDUP(MONTH(Table1[[#This Row],[Date]])/3,0)</f>
        <v>Q4</v>
      </c>
    </row>
    <row r="542" spans="1:12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5">
        <v>500</v>
      </c>
      <c r="I542" s="5">
        <v>500</v>
      </c>
      <c r="J542" s="2" t="str">
        <f>TEXT(Table1[[#This Row],[Date]],"mmm")</f>
        <v>Jul</v>
      </c>
      <c r="K542" t="str" cm="1">
        <f t="array" ref="K542">_xlfn.IFS(Table1[[#This Row],[Age]]&lt;25,"18-24",Table1[[#This Row],[Age]]&lt;35,"25-34",Table1[[#This Row],[Age]]&lt;45,"35-44",Table1[[#This Row],[Age]]&lt;55,"45-54",TRUE,"55+")</f>
        <v>55+</v>
      </c>
      <c r="L542" t="str">
        <f>"Q"&amp;ROUNDUP(MONTH(Table1[[#This Row],[Date]])/3,0)</f>
        <v>Q3</v>
      </c>
    </row>
    <row r="543" spans="1:12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5">
        <v>50</v>
      </c>
      <c r="I543" s="5">
        <v>50</v>
      </c>
      <c r="J543" s="2" t="str">
        <f>TEXT(Table1[[#This Row],[Date]],"mmm")</f>
        <v>Jun</v>
      </c>
      <c r="K543" t="str" cm="1">
        <f t="array" ref="K543">_xlfn.IFS(Table1[[#This Row],[Age]]&lt;25,"18-24",Table1[[#This Row],[Age]]&lt;35,"25-34",Table1[[#This Row],[Age]]&lt;45,"35-44",Table1[[#This Row],[Age]]&lt;55,"45-54",TRUE,"55+")</f>
        <v>18-24</v>
      </c>
      <c r="L543" t="str">
        <f>"Q"&amp;ROUNDUP(MONTH(Table1[[#This Row],[Date]])/3,0)</f>
        <v>Q2</v>
      </c>
    </row>
    <row r="544" spans="1:12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5">
        <v>300</v>
      </c>
      <c r="I544" s="5">
        <v>600</v>
      </c>
      <c r="J544" s="2" t="str">
        <f>TEXT(Table1[[#This Row],[Date]],"mmm")</f>
        <v>Jul</v>
      </c>
      <c r="K544" t="str" cm="1">
        <f t="array" ref="K544">_xlfn.IFS(Table1[[#This Row],[Age]]&lt;25,"18-24",Table1[[#This Row],[Age]]&lt;35,"25-34",Table1[[#This Row],[Age]]&lt;45,"35-44",Table1[[#This Row],[Age]]&lt;55,"45-54",TRUE,"55+")</f>
        <v>45-54</v>
      </c>
      <c r="L544" t="str">
        <f>"Q"&amp;ROUNDUP(MONTH(Table1[[#This Row],[Date]])/3,0)</f>
        <v>Q3</v>
      </c>
    </row>
    <row r="545" spans="1:12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5">
        <v>25</v>
      </c>
      <c r="I545" s="5">
        <v>25</v>
      </c>
      <c r="J545" s="2" t="str">
        <f>TEXT(Table1[[#This Row],[Date]],"mmm")</f>
        <v>Dec</v>
      </c>
      <c r="K545" t="str" cm="1">
        <f t="array" ref="K545">_xlfn.IFS(Table1[[#This Row],[Age]]&lt;25,"18-24",Table1[[#This Row],[Age]]&lt;35,"25-34",Table1[[#This Row],[Age]]&lt;45,"35-44",Table1[[#This Row],[Age]]&lt;55,"45-54",TRUE,"55+")</f>
        <v>25-34</v>
      </c>
      <c r="L545" t="str">
        <f>"Q"&amp;ROUNDUP(MONTH(Table1[[#This Row],[Date]])/3,0)</f>
        <v>Q4</v>
      </c>
    </row>
    <row r="546" spans="1:12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5">
        <v>25</v>
      </c>
      <c r="I546" s="5">
        <v>50</v>
      </c>
      <c r="J546" s="2" t="str">
        <f>TEXT(Table1[[#This Row],[Date]],"mmm")</f>
        <v>Jun</v>
      </c>
      <c r="K546" t="str" cm="1">
        <f t="array" ref="K546">_xlfn.IFS(Table1[[#This Row],[Age]]&lt;25,"18-24",Table1[[#This Row],[Age]]&lt;35,"25-34",Table1[[#This Row],[Age]]&lt;45,"35-44",Table1[[#This Row],[Age]]&lt;55,"45-54",TRUE,"55+")</f>
        <v>25-34</v>
      </c>
      <c r="L546" t="str">
        <f>"Q"&amp;ROUNDUP(MONTH(Table1[[#This Row],[Date]])/3,0)</f>
        <v>Q2</v>
      </c>
    </row>
    <row r="547" spans="1:12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5">
        <v>50</v>
      </c>
      <c r="I547" s="5">
        <v>200</v>
      </c>
      <c r="J547" s="2" t="str">
        <f>TEXT(Table1[[#This Row],[Date]],"mmm")</f>
        <v>Oct</v>
      </c>
      <c r="K547" t="str" cm="1">
        <f t="array" ref="K547">_xlfn.IFS(Table1[[#This Row],[Age]]&lt;25,"18-24",Table1[[#This Row],[Age]]&lt;35,"25-34",Table1[[#This Row],[Age]]&lt;45,"35-44",Table1[[#This Row],[Age]]&lt;55,"45-54",TRUE,"55+")</f>
        <v>35-44</v>
      </c>
      <c r="L547" t="str">
        <f>"Q"&amp;ROUNDUP(MONTH(Table1[[#This Row],[Date]])/3,0)</f>
        <v>Q4</v>
      </c>
    </row>
    <row r="548" spans="1:12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5">
        <v>500</v>
      </c>
      <c r="I548" s="5">
        <v>2000</v>
      </c>
      <c r="J548" s="2" t="str">
        <f>TEXT(Table1[[#This Row],[Date]],"mmm")</f>
        <v>Mar</v>
      </c>
      <c r="K548" t="str" cm="1">
        <f t="array" ref="K548">_xlfn.IFS(Table1[[#This Row],[Age]]&lt;25,"18-24",Table1[[#This Row],[Age]]&lt;35,"25-34",Table1[[#This Row],[Age]]&lt;45,"35-44",Table1[[#This Row],[Age]]&lt;55,"45-54",TRUE,"55+")</f>
        <v>55+</v>
      </c>
      <c r="L548" t="str">
        <f>"Q"&amp;ROUNDUP(MONTH(Table1[[#This Row],[Date]])/3,0)</f>
        <v>Q1</v>
      </c>
    </row>
    <row r="549" spans="1:12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5">
        <v>30</v>
      </c>
      <c r="I549" s="5">
        <v>60</v>
      </c>
      <c r="J549" s="2" t="str">
        <f>TEXT(Table1[[#This Row],[Date]],"mmm")</f>
        <v>Apr</v>
      </c>
      <c r="K549" t="str" cm="1">
        <f t="array" ref="K549">_xlfn.IFS(Table1[[#This Row],[Age]]&lt;25,"18-24",Table1[[#This Row],[Age]]&lt;35,"25-34",Table1[[#This Row],[Age]]&lt;45,"35-44",Table1[[#This Row],[Age]]&lt;55,"45-54",TRUE,"55+")</f>
        <v>45-54</v>
      </c>
      <c r="L549" t="str">
        <f>"Q"&amp;ROUNDUP(MONTH(Table1[[#This Row],[Date]])/3,0)</f>
        <v>Q2</v>
      </c>
    </row>
    <row r="550" spans="1:12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5">
        <v>50</v>
      </c>
      <c r="I550" s="5">
        <v>100</v>
      </c>
      <c r="J550" s="2" t="str">
        <f>TEXT(Table1[[#This Row],[Date]],"mmm")</f>
        <v>Aug</v>
      </c>
      <c r="K550" t="str" cm="1">
        <f t="array" ref="K550">_xlfn.IFS(Table1[[#This Row],[Age]]&lt;25,"18-24",Table1[[#This Row],[Age]]&lt;35,"25-34",Table1[[#This Row],[Age]]&lt;45,"35-44",Table1[[#This Row],[Age]]&lt;55,"45-54",TRUE,"55+")</f>
        <v>45-54</v>
      </c>
      <c r="L550" t="str">
        <f>"Q"&amp;ROUNDUP(MONTH(Table1[[#This Row],[Date]])/3,0)</f>
        <v>Q3</v>
      </c>
    </row>
    <row r="551" spans="1:12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5">
        <v>300</v>
      </c>
      <c r="I551" s="5">
        <v>900</v>
      </c>
      <c r="J551" s="2" t="str">
        <f>TEXT(Table1[[#This Row],[Date]],"mmm")</f>
        <v>Dec</v>
      </c>
      <c r="K551" t="str" cm="1">
        <f t="array" ref="K551">_xlfn.IFS(Table1[[#This Row],[Age]]&lt;25,"18-24",Table1[[#This Row],[Age]]&lt;35,"25-34",Table1[[#This Row],[Age]]&lt;45,"35-44",Table1[[#This Row],[Age]]&lt;55,"45-54",TRUE,"55+")</f>
        <v>35-44</v>
      </c>
      <c r="L551" t="str">
        <f>"Q"&amp;ROUNDUP(MONTH(Table1[[#This Row],[Date]])/3,0)</f>
        <v>Q4</v>
      </c>
    </row>
    <row r="552" spans="1:12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5">
        <v>300</v>
      </c>
      <c r="I552" s="5">
        <v>900</v>
      </c>
      <c r="J552" s="2" t="str">
        <f>TEXT(Table1[[#This Row],[Date]],"mmm")</f>
        <v>Jul</v>
      </c>
      <c r="K552" t="str" cm="1">
        <f t="array" ref="K552">_xlfn.IFS(Table1[[#This Row],[Age]]&lt;25,"18-24",Table1[[#This Row],[Age]]&lt;35,"25-34",Table1[[#This Row],[Age]]&lt;45,"35-44",Table1[[#This Row],[Age]]&lt;55,"45-54",TRUE,"55+")</f>
        <v>45-54</v>
      </c>
      <c r="L552" t="str">
        <f>"Q"&amp;ROUNDUP(MONTH(Table1[[#This Row],[Date]])/3,0)</f>
        <v>Q3</v>
      </c>
    </row>
    <row r="553" spans="1:12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5">
        <v>25</v>
      </c>
      <c r="I553" s="5">
        <v>75</v>
      </c>
      <c r="J553" s="2" t="str">
        <f>TEXT(Table1[[#This Row],[Date]],"mmm")</f>
        <v>Dec</v>
      </c>
      <c r="K553" t="str" cm="1">
        <f t="array" ref="K553">_xlfn.IFS(Table1[[#This Row],[Age]]&lt;25,"18-24",Table1[[#This Row],[Age]]&lt;35,"25-34",Table1[[#This Row],[Age]]&lt;45,"35-44",Table1[[#This Row],[Age]]&lt;55,"45-54",TRUE,"55+")</f>
        <v>45-54</v>
      </c>
      <c r="L553" t="str">
        <f>"Q"&amp;ROUNDUP(MONTH(Table1[[#This Row],[Date]])/3,0)</f>
        <v>Q4</v>
      </c>
    </row>
    <row r="554" spans="1:12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5">
        <v>300</v>
      </c>
      <c r="I554" s="5">
        <v>1200</v>
      </c>
      <c r="J554" s="2" t="str">
        <f>TEXT(Table1[[#This Row],[Date]],"mmm")</f>
        <v>Mar</v>
      </c>
      <c r="K554" t="str" cm="1">
        <f t="array" ref="K554">_xlfn.IFS(Table1[[#This Row],[Age]]&lt;25,"18-24",Table1[[#This Row],[Age]]&lt;35,"25-34",Table1[[#This Row],[Age]]&lt;45,"35-44",Table1[[#This Row],[Age]]&lt;55,"45-54",TRUE,"55+")</f>
        <v>18-24</v>
      </c>
      <c r="L554" t="str">
        <f>"Q"&amp;ROUNDUP(MONTH(Table1[[#This Row],[Date]])/3,0)</f>
        <v>Q1</v>
      </c>
    </row>
    <row r="555" spans="1:12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5">
        <v>50</v>
      </c>
      <c r="I555" s="5">
        <v>150</v>
      </c>
      <c r="J555" s="2" t="str">
        <f>TEXT(Table1[[#This Row],[Date]],"mmm")</f>
        <v>Nov</v>
      </c>
      <c r="K555" t="str" cm="1">
        <f t="array" ref="K555">_xlfn.IFS(Table1[[#This Row],[Age]]&lt;25,"18-24",Table1[[#This Row],[Age]]&lt;35,"25-34",Table1[[#This Row],[Age]]&lt;45,"35-44",Table1[[#This Row],[Age]]&lt;55,"45-54",TRUE,"55+")</f>
        <v>45-54</v>
      </c>
      <c r="L555" t="str">
        <f>"Q"&amp;ROUNDUP(MONTH(Table1[[#This Row],[Date]])/3,0)</f>
        <v>Q4</v>
      </c>
    </row>
    <row r="556" spans="1:12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5">
        <v>300</v>
      </c>
      <c r="I556" s="5">
        <v>300</v>
      </c>
      <c r="J556" s="2" t="str">
        <f>TEXT(Table1[[#This Row],[Date]],"mmm")</f>
        <v>Oct</v>
      </c>
      <c r="K556" t="str" cm="1">
        <f t="array" ref="K556">_xlfn.IFS(Table1[[#This Row],[Age]]&lt;25,"18-24",Table1[[#This Row],[Age]]&lt;35,"25-34",Table1[[#This Row],[Age]]&lt;45,"35-44",Table1[[#This Row],[Age]]&lt;55,"45-54",TRUE,"55+")</f>
        <v>25-34</v>
      </c>
      <c r="L556" t="str">
        <f>"Q"&amp;ROUNDUP(MONTH(Table1[[#This Row],[Date]])/3,0)</f>
        <v>Q4</v>
      </c>
    </row>
    <row r="557" spans="1:12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5">
        <v>50</v>
      </c>
      <c r="I557" s="5">
        <v>50</v>
      </c>
      <c r="J557" s="2" t="str">
        <f>TEXT(Table1[[#This Row],[Date]],"mmm")</f>
        <v>Jun</v>
      </c>
      <c r="K557" t="str" cm="1">
        <f t="array" ref="K557">_xlfn.IFS(Table1[[#This Row],[Age]]&lt;25,"18-24",Table1[[#This Row],[Age]]&lt;35,"25-34",Table1[[#This Row],[Age]]&lt;45,"35-44",Table1[[#This Row],[Age]]&lt;55,"45-54",TRUE,"55+")</f>
        <v>18-24</v>
      </c>
      <c r="L557" t="str">
        <f>"Q"&amp;ROUNDUP(MONTH(Table1[[#This Row],[Date]])/3,0)</f>
        <v>Q2</v>
      </c>
    </row>
    <row r="558" spans="1:12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5">
        <v>30</v>
      </c>
      <c r="I558" s="5">
        <v>90</v>
      </c>
      <c r="J558" s="2" t="str">
        <f>TEXT(Table1[[#This Row],[Date]],"mmm")</f>
        <v>Jul</v>
      </c>
      <c r="K558" t="str" cm="1">
        <f t="array" ref="K558">_xlfn.IFS(Table1[[#This Row],[Age]]&lt;25,"18-24",Table1[[#This Row],[Age]]&lt;35,"25-34",Table1[[#This Row],[Age]]&lt;45,"35-44",Table1[[#This Row],[Age]]&lt;55,"45-54",TRUE,"55+")</f>
        <v>18-24</v>
      </c>
      <c r="L558" t="str">
        <f>"Q"&amp;ROUNDUP(MONTH(Table1[[#This Row],[Date]])/3,0)</f>
        <v>Q3</v>
      </c>
    </row>
    <row r="559" spans="1:12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5">
        <v>25</v>
      </c>
      <c r="I559" s="5">
        <v>25</v>
      </c>
      <c r="J559" s="2" t="str">
        <f>TEXT(Table1[[#This Row],[Date]],"mmm")</f>
        <v>Oct</v>
      </c>
      <c r="K559" t="str" cm="1">
        <f t="array" ref="K559">_xlfn.IFS(Table1[[#This Row],[Age]]&lt;25,"18-24",Table1[[#This Row],[Age]]&lt;35,"25-34",Table1[[#This Row],[Age]]&lt;45,"35-44",Table1[[#This Row],[Age]]&lt;55,"45-54",TRUE,"55+")</f>
        <v>35-44</v>
      </c>
      <c r="L559" t="str">
        <f>"Q"&amp;ROUNDUP(MONTH(Table1[[#This Row],[Date]])/3,0)</f>
        <v>Q4</v>
      </c>
    </row>
    <row r="560" spans="1:12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5">
        <v>300</v>
      </c>
      <c r="I560" s="5">
        <v>1200</v>
      </c>
      <c r="J560" s="2" t="str">
        <f>TEXT(Table1[[#This Row],[Date]],"mmm")</f>
        <v>Jan</v>
      </c>
      <c r="K560" t="str" cm="1">
        <f t="array" ref="K560">_xlfn.IFS(Table1[[#This Row],[Age]]&lt;25,"18-24",Table1[[#This Row],[Age]]&lt;35,"25-34",Table1[[#This Row],[Age]]&lt;45,"35-44",Table1[[#This Row],[Age]]&lt;55,"45-54",TRUE,"55+")</f>
        <v>35-44</v>
      </c>
      <c r="L560" t="str">
        <f>"Q"&amp;ROUNDUP(MONTH(Table1[[#This Row],[Date]])/3,0)</f>
        <v>Q1</v>
      </c>
    </row>
    <row r="561" spans="1:12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5">
        <v>50</v>
      </c>
      <c r="I561" s="5">
        <v>50</v>
      </c>
      <c r="J561" s="2" t="str">
        <f>TEXT(Table1[[#This Row],[Date]],"mmm")</f>
        <v>Jun</v>
      </c>
      <c r="K561" t="str" cm="1">
        <f t="array" ref="K561">_xlfn.IFS(Table1[[#This Row],[Age]]&lt;25,"18-24",Table1[[#This Row],[Age]]&lt;35,"25-34",Table1[[#This Row],[Age]]&lt;45,"35-44",Table1[[#This Row],[Age]]&lt;55,"45-54",TRUE,"55+")</f>
        <v>25-34</v>
      </c>
      <c r="L561" t="str">
        <f>"Q"&amp;ROUNDUP(MONTH(Table1[[#This Row],[Date]])/3,0)</f>
        <v>Q2</v>
      </c>
    </row>
    <row r="562" spans="1:12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5">
        <v>500</v>
      </c>
      <c r="I562" s="5">
        <v>2000</v>
      </c>
      <c r="J562" s="2" t="str">
        <f>TEXT(Table1[[#This Row],[Date]],"mmm")</f>
        <v>May</v>
      </c>
      <c r="K562" t="str" cm="1">
        <f t="array" ref="K562">_xlfn.IFS(Table1[[#This Row],[Age]]&lt;25,"18-24",Table1[[#This Row],[Age]]&lt;35,"25-34",Table1[[#This Row],[Age]]&lt;45,"35-44",Table1[[#This Row],[Age]]&lt;55,"45-54",TRUE,"55+")</f>
        <v>55+</v>
      </c>
      <c r="L562" t="str">
        <f>"Q"&amp;ROUNDUP(MONTH(Table1[[#This Row],[Date]])/3,0)</f>
        <v>Q2</v>
      </c>
    </row>
    <row r="563" spans="1:12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5">
        <v>25</v>
      </c>
      <c r="I563" s="5">
        <v>50</v>
      </c>
      <c r="J563" s="2" t="str">
        <f>TEXT(Table1[[#This Row],[Date]],"mmm")</f>
        <v>Apr</v>
      </c>
      <c r="K563" t="str" cm="1">
        <f t="array" ref="K563">_xlfn.IFS(Table1[[#This Row],[Age]]&lt;25,"18-24",Table1[[#This Row],[Age]]&lt;35,"25-34",Table1[[#This Row],[Age]]&lt;45,"35-44",Table1[[#This Row],[Age]]&lt;55,"45-54",TRUE,"55+")</f>
        <v>45-54</v>
      </c>
      <c r="L563" t="str">
        <f>"Q"&amp;ROUNDUP(MONTH(Table1[[#This Row],[Date]])/3,0)</f>
        <v>Q2</v>
      </c>
    </row>
    <row r="564" spans="1:12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5">
        <v>30</v>
      </c>
      <c r="I564" s="5">
        <v>60</v>
      </c>
      <c r="J564" s="2" t="str">
        <f>TEXT(Table1[[#This Row],[Date]],"mmm")</f>
        <v>Aug</v>
      </c>
      <c r="K564" t="str" cm="1">
        <f t="array" ref="K564">_xlfn.IFS(Table1[[#This Row],[Age]]&lt;25,"18-24",Table1[[#This Row],[Age]]&lt;35,"25-34",Table1[[#This Row],[Age]]&lt;45,"35-44",Table1[[#This Row],[Age]]&lt;55,"45-54",TRUE,"55+")</f>
        <v>18-24</v>
      </c>
      <c r="L564" t="str">
        <f>"Q"&amp;ROUNDUP(MONTH(Table1[[#This Row],[Date]])/3,0)</f>
        <v>Q3</v>
      </c>
    </row>
    <row r="565" spans="1:12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5">
        <v>50</v>
      </c>
      <c r="I565" s="5">
        <v>100</v>
      </c>
      <c r="J565" s="2" t="str">
        <f>TEXT(Table1[[#This Row],[Date]],"mmm")</f>
        <v>Oct</v>
      </c>
      <c r="K565" t="str" cm="1">
        <f t="array" ref="K565">_xlfn.IFS(Table1[[#This Row],[Age]]&lt;25,"18-24",Table1[[#This Row],[Age]]&lt;35,"25-34",Table1[[#This Row],[Age]]&lt;45,"35-44",Table1[[#This Row],[Age]]&lt;55,"45-54",TRUE,"55+")</f>
        <v>45-54</v>
      </c>
      <c r="L565" t="str">
        <f>"Q"&amp;ROUNDUP(MONTH(Table1[[#This Row],[Date]])/3,0)</f>
        <v>Q4</v>
      </c>
    </row>
    <row r="566" spans="1:12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5">
        <v>30</v>
      </c>
      <c r="I566" s="5">
        <v>60</v>
      </c>
      <c r="J566" s="2" t="str">
        <f>TEXT(Table1[[#This Row],[Date]],"mmm")</f>
        <v>Nov</v>
      </c>
      <c r="K566" t="str" cm="1">
        <f t="array" ref="K566">_xlfn.IFS(Table1[[#This Row],[Age]]&lt;25,"18-24",Table1[[#This Row],[Age]]&lt;35,"25-34",Table1[[#This Row],[Age]]&lt;45,"35-44",Table1[[#This Row],[Age]]&lt;55,"45-54",TRUE,"55+")</f>
        <v>45-54</v>
      </c>
      <c r="L566" t="str">
        <f>"Q"&amp;ROUNDUP(MONTH(Table1[[#This Row],[Date]])/3,0)</f>
        <v>Q4</v>
      </c>
    </row>
    <row r="567" spans="1:12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5">
        <v>30</v>
      </c>
      <c r="I567" s="5">
        <v>30</v>
      </c>
      <c r="J567" s="2" t="str">
        <f>TEXT(Table1[[#This Row],[Date]],"mmm")</f>
        <v>Dec</v>
      </c>
      <c r="K567" t="str" cm="1">
        <f t="array" ref="K567">_xlfn.IFS(Table1[[#This Row],[Age]]&lt;25,"18-24",Table1[[#This Row],[Age]]&lt;35,"25-34",Table1[[#This Row],[Age]]&lt;45,"35-44",Table1[[#This Row],[Age]]&lt;55,"45-54",TRUE,"55+")</f>
        <v>55+</v>
      </c>
      <c r="L567" t="str">
        <f>"Q"&amp;ROUNDUP(MONTH(Table1[[#This Row],[Date]])/3,0)</f>
        <v>Q4</v>
      </c>
    </row>
    <row r="568" spans="1:12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5">
        <v>300</v>
      </c>
      <c r="I568" s="5">
        <v>900</v>
      </c>
      <c r="J568" s="2" t="str">
        <f>TEXT(Table1[[#This Row],[Date]],"mmm")</f>
        <v>Jun</v>
      </c>
      <c r="K568" t="str" cm="1">
        <f t="array" ref="K568">_xlfn.IFS(Table1[[#This Row],[Age]]&lt;25,"18-24",Table1[[#This Row],[Age]]&lt;35,"25-34",Table1[[#This Row],[Age]]&lt;45,"35-44",Table1[[#This Row],[Age]]&lt;55,"45-54",TRUE,"55+")</f>
        <v>25-34</v>
      </c>
      <c r="L568" t="str">
        <f>"Q"&amp;ROUNDUP(MONTH(Table1[[#This Row],[Date]])/3,0)</f>
        <v>Q2</v>
      </c>
    </row>
    <row r="569" spans="1:12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5">
        <v>300</v>
      </c>
      <c r="I569" s="5">
        <v>300</v>
      </c>
      <c r="J569" s="2" t="str">
        <f>TEXT(Table1[[#This Row],[Date]],"mmm")</f>
        <v>Aug</v>
      </c>
      <c r="K569" t="str" cm="1">
        <f t="array" ref="K569">_xlfn.IFS(Table1[[#This Row],[Age]]&lt;25,"18-24",Table1[[#This Row],[Age]]&lt;35,"25-34",Table1[[#This Row],[Age]]&lt;45,"35-44",Table1[[#This Row],[Age]]&lt;55,"45-54",TRUE,"55+")</f>
        <v>45-54</v>
      </c>
      <c r="L569" t="str">
        <f>"Q"&amp;ROUNDUP(MONTH(Table1[[#This Row],[Date]])/3,0)</f>
        <v>Q3</v>
      </c>
    </row>
    <row r="570" spans="1:12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5">
        <v>50</v>
      </c>
      <c r="I570" s="5">
        <v>200</v>
      </c>
      <c r="J570" s="2" t="str">
        <f>TEXT(Table1[[#This Row],[Date]],"mmm")</f>
        <v>Aug</v>
      </c>
      <c r="K570" t="str" cm="1">
        <f t="array" ref="K570">_xlfn.IFS(Table1[[#This Row],[Age]]&lt;25,"18-24",Table1[[#This Row],[Age]]&lt;35,"25-34",Table1[[#This Row],[Age]]&lt;45,"35-44",Table1[[#This Row],[Age]]&lt;55,"45-54",TRUE,"55+")</f>
        <v>45-54</v>
      </c>
      <c r="L570" t="str">
        <f>"Q"&amp;ROUNDUP(MONTH(Table1[[#This Row],[Date]])/3,0)</f>
        <v>Q3</v>
      </c>
    </row>
    <row r="571" spans="1:12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5">
        <v>500</v>
      </c>
      <c r="I571" s="5">
        <v>500</v>
      </c>
      <c r="J571" s="2" t="str">
        <f>TEXT(Table1[[#This Row],[Date]],"mmm")</f>
        <v>Aug</v>
      </c>
      <c r="K571" t="str" cm="1">
        <f t="array" ref="K571">_xlfn.IFS(Table1[[#This Row],[Age]]&lt;25,"18-24",Table1[[#This Row],[Age]]&lt;35,"25-34",Table1[[#This Row],[Age]]&lt;45,"35-44",Table1[[#This Row],[Age]]&lt;55,"45-54",TRUE,"55+")</f>
        <v>45-54</v>
      </c>
      <c r="L571" t="str">
        <f>"Q"&amp;ROUNDUP(MONTH(Table1[[#This Row],[Date]])/3,0)</f>
        <v>Q3</v>
      </c>
    </row>
    <row r="572" spans="1:12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5">
        <v>50</v>
      </c>
      <c r="I572" s="5">
        <v>50</v>
      </c>
      <c r="J572" s="2" t="str">
        <f>TEXT(Table1[[#This Row],[Date]],"mmm")</f>
        <v>Dec</v>
      </c>
      <c r="K572" t="str" cm="1">
        <f t="array" ref="K572">_xlfn.IFS(Table1[[#This Row],[Age]]&lt;25,"18-24",Table1[[#This Row],[Age]]&lt;35,"25-34",Table1[[#This Row],[Age]]&lt;45,"35-44",Table1[[#This Row],[Age]]&lt;55,"45-54",TRUE,"55+")</f>
        <v>35-44</v>
      </c>
      <c r="L572" t="str">
        <f>"Q"&amp;ROUNDUP(MONTH(Table1[[#This Row],[Date]])/3,0)</f>
        <v>Q4</v>
      </c>
    </row>
    <row r="573" spans="1:12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5">
        <v>500</v>
      </c>
      <c r="I573" s="5">
        <v>2000</v>
      </c>
      <c r="J573" s="2" t="str">
        <f>TEXT(Table1[[#This Row],[Date]],"mmm")</f>
        <v>Apr</v>
      </c>
      <c r="K573" t="str" cm="1">
        <f t="array" ref="K573">_xlfn.IFS(Table1[[#This Row],[Age]]&lt;25,"18-24",Table1[[#This Row],[Age]]&lt;35,"25-34",Table1[[#This Row],[Age]]&lt;45,"35-44",Table1[[#This Row],[Age]]&lt;55,"45-54",TRUE,"55+")</f>
        <v>25-34</v>
      </c>
      <c r="L573" t="str">
        <f>"Q"&amp;ROUNDUP(MONTH(Table1[[#This Row],[Date]])/3,0)</f>
        <v>Q2</v>
      </c>
    </row>
    <row r="574" spans="1:12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5">
        <v>30</v>
      </c>
      <c r="I574" s="5">
        <v>60</v>
      </c>
      <c r="J574" s="2" t="str">
        <f>TEXT(Table1[[#This Row],[Date]],"mmm")</f>
        <v>Sep</v>
      </c>
      <c r="K574" t="str" cm="1">
        <f t="array" ref="K574">_xlfn.IFS(Table1[[#This Row],[Age]]&lt;25,"18-24",Table1[[#This Row],[Age]]&lt;35,"25-34",Table1[[#This Row],[Age]]&lt;45,"35-44",Table1[[#This Row],[Age]]&lt;55,"45-54",TRUE,"55+")</f>
        <v>45-54</v>
      </c>
      <c r="L574" t="str">
        <f>"Q"&amp;ROUNDUP(MONTH(Table1[[#This Row],[Date]])/3,0)</f>
        <v>Q3</v>
      </c>
    </row>
    <row r="575" spans="1:12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5">
        <v>25</v>
      </c>
      <c r="I575" s="5">
        <v>50</v>
      </c>
      <c r="J575" s="2" t="str">
        <f>TEXT(Table1[[#This Row],[Date]],"mmm")</f>
        <v>Aug</v>
      </c>
      <c r="K575" t="str" cm="1">
        <f t="array" ref="K575">_xlfn.IFS(Table1[[#This Row],[Age]]&lt;25,"18-24",Table1[[#This Row],[Age]]&lt;35,"25-34",Table1[[#This Row],[Age]]&lt;45,"35-44",Table1[[#This Row],[Age]]&lt;55,"45-54",TRUE,"55+")</f>
        <v>55+</v>
      </c>
      <c r="L575" t="str">
        <f>"Q"&amp;ROUNDUP(MONTH(Table1[[#This Row],[Date]])/3,0)</f>
        <v>Q3</v>
      </c>
    </row>
    <row r="576" spans="1:12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5">
        <v>50</v>
      </c>
      <c r="I576" s="5">
        <v>100</v>
      </c>
      <c r="J576" s="2" t="str">
        <f>TEXT(Table1[[#This Row],[Date]],"mmm")</f>
        <v>Mar</v>
      </c>
      <c r="K576" t="str" cm="1">
        <f t="array" ref="K576">_xlfn.IFS(Table1[[#This Row],[Age]]&lt;25,"18-24",Table1[[#This Row],[Age]]&lt;35,"25-34",Table1[[#This Row],[Age]]&lt;45,"35-44",Table1[[#This Row],[Age]]&lt;55,"45-54",TRUE,"55+")</f>
        <v>55+</v>
      </c>
      <c r="L576" t="str">
        <f>"Q"&amp;ROUNDUP(MONTH(Table1[[#This Row],[Date]])/3,0)</f>
        <v>Q1</v>
      </c>
    </row>
    <row r="577" spans="1:12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5">
        <v>50</v>
      </c>
      <c r="I577" s="5">
        <v>150</v>
      </c>
      <c r="J577" s="2" t="str">
        <f>TEXT(Table1[[#This Row],[Date]],"mmm")</f>
        <v>Dec</v>
      </c>
      <c r="K577" t="str" cm="1">
        <f t="array" ref="K577">_xlfn.IFS(Table1[[#This Row],[Age]]&lt;25,"18-24",Table1[[#This Row],[Age]]&lt;35,"25-34",Table1[[#This Row],[Age]]&lt;45,"35-44",Table1[[#This Row],[Age]]&lt;55,"45-54",TRUE,"55+")</f>
        <v>25-34</v>
      </c>
      <c r="L577" t="str">
        <f>"Q"&amp;ROUNDUP(MONTH(Table1[[#This Row],[Date]])/3,0)</f>
        <v>Q4</v>
      </c>
    </row>
    <row r="578" spans="1:12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5">
        <v>500</v>
      </c>
      <c r="I578" s="5">
        <v>2000</v>
      </c>
      <c r="J578" s="2" t="str">
        <f>TEXT(Table1[[#This Row],[Date]],"mmm")</f>
        <v>Feb</v>
      </c>
      <c r="K578" t="str" cm="1">
        <f t="array" ref="K578">_xlfn.IFS(Table1[[#This Row],[Age]]&lt;25,"18-24",Table1[[#This Row],[Age]]&lt;35,"25-34",Table1[[#This Row],[Age]]&lt;45,"35-44",Table1[[#This Row],[Age]]&lt;55,"45-54",TRUE,"55+")</f>
        <v>18-24</v>
      </c>
      <c r="L578" t="str">
        <f>"Q"&amp;ROUNDUP(MONTH(Table1[[#This Row],[Date]])/3,0)</f>
        <v>Q1</v>
      </c>
    </row>
    <row r="579" spans="1:12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5">
        <v>30</v>
      </c>
      <c r="I579" s="5">
        <v>120</v>
      </c>
      <c r="J579" s="2" t="str">
        <f>TEXT(Table1[[#This Row],[Date]],"mmm")</f>
        <v>May</v>
      </c>
      <c r="K579" t="str" cm="1">
        <f t="array" ref="K579">_xlfn.IFS(Table1[[#This Row],[Age]]&lt;25,"18-24",Table1[[#This Row],[Age]]&lt;35,"25-34",Table1[[#This Row],[Age]]&lt;45,"35-44",Table1[[#This Row],[Age]]&lt;55,"45-54",TRUE,"55+")</f>
        <v>45-54</v>
      </c>
      <c r="L579" t="str">
        <f>"Q"&amp;ROUNDUP(MONTH(Table1[[#This Row],[Date]])/3,0)</f>
        <v>Q2</v>
      </c>
    </row>
    <row r="580" spans="1:12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5">
        <v>30</v>
      </c>
      <c r="I580" s="5">
        <v>30</v>
      </c>
      <c r="J580" s="2" t="str">
        <f>TEXT(Table1[[#This Row],[Date]],"mmm")</f>
        <v>Sep</v>
      </c>
      <c r="K580" t="str" cm="1">
        <f t="array" ref="K580">_xlfn.IFS(Table1[[#This Row],[Age]]&lt;25,"18-24",Table1[[#This Row],[Age]]&lt;35,"25-34",Table1[[#This Row],[Age]]&lt;45,"35-44",Table1[[#This Row],[Age]]&lt;55,"45-54",TRUE,"55+")</f>
        <v>35-44</v>
      </c>
      <c r="L580" t="str">
        <f>"Q"&amp;ROUNDUP(MONTH(Table1[[#This Row],[Date]])/3,0)</f>
        <v>Q3</v>
      </c>
    </row>
    <row r="581" spans="1:12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5">
        <v>500</v>
      </c>
      <c r="I581" s="5">
        <v>1500</v>
      </c>
      <c r="J581" s="2" t="str">
        <f>TEXT(Table1[[#This Row],[Date]],"mmm")</f>
        <v>Dec</v>
      </c>
      <c r="K581" t="str" cm="1">
        <f t="array" ref="K581">_xlfn.IFS(Table1[[#This Row],[Age]]&lt;25,"18-24",Table1[[#This Row],[Age]]&lt;35,"25-34",Table1[[#This Row],[Age]]&lt;45,"35-44",Table1[[#This Row],[Age]]&lt;55,"45-54",TRUE,"55+")</f>
        <v>25-34</v>
      </c>
      <c r="L581" t="str">
        <f>"Q"&amp;ROUNDUP(MONTH(Table1[[#This Row],[Date]])/3,0)</f>
        <v>Q4</v>
      </c>
    </row>
    <row r="582" spans="1:12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5">
        <v>30</v>
      </c>
      <c r="I582" s="5">
        <v>60</v>
      </c>
      <c r="J582" s="2" t="str">
        <f>TEXT(Table1[[#This Row],[Date]],"mmm")</f>
        <v>Nov</v>
      </c>
      <c r="K582" t="str" cm="1">
        <f t="array" ref="K582">_xlfn.IFS(Table1[[#This Row],[Age]]&lt;25,"18-24",Table1[[#This Row],[Age]]&lt;35,"25-34",Table1[[#This Row],[Age]]&lt;45,"35-44",Table1[[#This Row],[Age]]&lt;55,"45-54",TRUE,"55+")</f>
        <v>45-54</v>
      </c>
      <c r="L582" t="str">
        <f>"Q"&amp;ROUNDUP(MONTH(Table1[[#This Row],[Date]])/3,0)</f>
        <v>Q4</v>
      </c>
    </row>
    <row r="583" spans="1:12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5">
        <v>300</v>
      </c>
      <c r="I583" s="5">
        <v>900</v>
      </c>
      <c r="J583" s="2" t="str">
        <f>TEXT(Table1[[#This Row],[Date]],"mmm")</f>
        <v>Nov</v>
      </c>
      <c r="K583" t="str" cm="1">
        <f t="array" ref="K583">_xlfn.IFS(Table1[[#This Row],[Age]]&lt;25,"18-24",Table1[[#This Row],[Age]]&lt;35,"25-34",Table1[[#This Row],[Age]]&lt;45,"35-44",Table1[[#This Row],[Age]]&lt;55,"45-54",TRUE,"55+")</f>
        <v>35-44</v>
      </c>
      <c r="L583" t="str">
        <f>"Q"&amp;ROUNDUP(MONTH(Table1[[#This Row],[Date]])/3,0)</f>
        <v>Q4</v>
      </c>
    </row>
    <row r="584" spans="1:12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5">
        <v>25</v>
      </c>
      <c r="I584" s="5">
        <v>100</v>
      </c>
      <c r="J584" s="2" t="str">
        <f>TEXT(Table1[[#This Row],[Date]],"mmm")</f>
        <v>Jun</v>
      </c>
      <c r="K584" t="str" cm="1">
        <f t="array" ref="K584">_xlfn.IFS(Table1[[#This Row],[Age]]&lt;25,"18-24",Table1[[#This Row],[Age]]&lt;35,"25-34",Table1[[#This Row],[Age]]&lt;45,"35-44",Table1[[#This Row],[Age]]&lt;55,"45-54",TRUE,"55+")</f>
        <v>18-24</v>
      </c>
      <c r="L584" t="str">
        <f>"Q"&amp;ROUNDUP(MONTH(Table1[[#This Row],[Date]])/3,0)</f>
        <v>Q2</v>
      </c>
    </row>
    <row r="585" spans="1:12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5">
        <v>50</v>
      </c>
      <c r="I585" s="5">
        <v>200</v>
      </c>
      <c r="J585" s="2" t="str">
        <f>TEXT(Table1[[#This Row],[Date]],"mmm")</f>
        <v>Feb</v>
      </c>
      <c r="K585" t="str" cm="1">
        <f t="array" ref="K585">_xlfn.IFS(Table1[[#This Row],[Age]]&lt;25,"18-24",Table1[[#This Row],[Age]]&lt;35,"25-34",Table1[[#This Row],[Age]]&lt;45,"35-44",Table1[[#This Row],[Age]]&lt;55,"45-54",TRUE,"55+")</f>
        <v>25-34</v>
      </c>
      <c r="L585" t="str">
        <f>"Q"&amp;ROUNDUP(MONTH(Table1[[#This Row],[Date]])/3,0)</f>
        <v>Q1</v>
      </c>
    </row>
    <row r="586" spans="1:12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5">
        <v>25</v>
      </c>
      <c r="I586" s="5">
        <v>25</v>
      </c>
      <c r="J586" s="2" t="str">
        <f>TEXT(Table1[[#This Row],[Date]],"mmm")</f>
        <v>May</v>
      </c>
      <c r="K586" t="str" cm="1">
        <f t="array" ref="K586">_xlfn.IFS(Table1[[#This Row],[Age]]&lt;25,"18-24",Table1[[#This Row],[Age]]&lt;35,"25-34",Table1[[#This Row],[Age]]&lt;45,"35-44",Table1[[#This Row],[Age]]&lt;55,"45-54",TRUE,"55+")</f>
        <v>18-24</v>
      </c>
      <c r="L586" t="str">
        <f>"Q"&amp;ROUNDUP(MONTH(Table1[[#This Row],[Date]])/3,0)</f>
        <v>Q2</v>
      </c>
    </row>
    <row r="587" spans="1:12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5">
        <v>50</v>
      </c>
      <c r="I587" s="5">
        <v>50</v>
      </c>
      <c r="J587" s="2" t="str">
        <f>TEXT(Table1[[#This Row],[Date]],"mmm")</f>
        <v>Dec</v>
      </c>
      <c r="K587" t="str" cm="1">
        <f t="array" ref="K587">_xlfn.IFS(Table1[[#This Row],[Age]]&lt;25,"18-24",Table1[[#This Row],[Age]]&lt;35,"25-34",Table1[[#This Row],[Age]]&lt;45,"35-44",Table1[[#This Row],[Age]]&lt;55,"45-54",TRUE,"55+")</f>
        <v>45-54</v>
      </c>
      <c r="L587" t="str">
        <f>"Q"&amp;ROUNDUP(MONTH(Table1[[#This Row],[Date]])/3,0)</f>
        <v>Q4</v>
      </c>
    </row>
    <row r="588" spans="1:12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5">
        <v>300</v>
      </c>
      <c r="I588" s="5">
        <v>1200</v>
      </c>
      <c r="J588" s="2" t="str">
        <f>TEXT(Table1[[#This Row],[Date]],"mmm")</f>
        <v>Jun</v>
      </c>
      <c r="K588" t="str" cm="1">
        <f t="array" ref="K588">_xlfn.IFS(Table1[[#This Row],[Age]]&lt;25,"18-24",Table1[[#This Row],[Age]]&lt;35,"25-34",Table1[[#This Row],[Age]]&lt;45,"35-44",Table1[[#This Row],[Age]]&lt;55,"45-54",TRUE,"55+")</f>
        <v>35-44</v>
      </c>
      <c r="L588" t="str">
        <f>"Q"&amp;ROUNDUP(MONTH(Table1[[#This Row],[Date]])/3,0)</f>
        <v>Q2</v>
      </c>
    </row>
    <row r="589" spans="1:12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5">
        <v>30</v>
      </c>
      <c r="I589" s="5">
        <v>60</v>
      </c>
      <c r="J589" s="2" t="str">
        <f>TEXT(Table1[[#This Row],[Date]],"mmm")</f>
        <v>Apr</v>
      </c>
      <c r="K589" t="str" cm="1">
        <f t="array" ref="K589">_xlfn.IFS(Table1[[#This Row],[Age]]&lt;25,"18-24",Table1[[#This Row],[Age]]&lt;35,"25-34",Table1[[#This Row],[Age]]&lt;45,"35-44",Table1[[#This Row],[Age]]&lt;55,"45-54",TRUE,"55+")</f>
        <v>35-44</v>
      </c>
      <c r="L589" t="str">
        <f>"Q"&amp;ROUNDUP(MONTH(Table1[[#This Row],[Date]])/3,0)</f>
        <v>Q2</v>
      </c>
    </row>
    <row r="590" spans="1:12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5">
        <v>500</v>
      </c>
      <c r="I590" s="5">
        <v>1000</v>
      </c>
      <c r="J590" s="2" t="str">
        <f>TEXT(Table1[[#This Row],[Date]],"mmm")</f>
        <v>Apr</v>
      </c>
      <c r="K590" t="str" cm="1">
        <f t="array" ref="K590">_xlfn.IFS(Table1[[#This Row],[Age]]&lt;25,"18-24",Table1[[#This Row],[Age]]&lt;35,"25-34",Table1[[#This Row],[Age]]&lt;45,"35-44",Table1[[#This Row],[Age]]&lt;55,"45-54",TRUE,"55+")</f>
        <v>35-44</v>
      </c>
      <c r="L590" t="str">
        <f>"Q"&amp;ROUNDUP(MONTH(Table1[[#This Row],[Date]])/3,0)</f>
        <v>Q2</v>
      </c>
    </row>
    <row r="591" spans="1:12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5">
        <v>300</v>
      </c>
      <c r="I591" s="5">
        <v>900</v>
      </c>
      <c r="J591" s="2" t="str">
        <f>TEXT(Table1[[#This Row],[Date]],"mmm")</f>
        <v>Mar</v>
      </c>
      <c r="K591" t="str" cm="1">
        <f t="array" ref="K591">_xlfn.IFS(Table1[[#This Row],[Age]]&lt;25,"18-24",Table1[[#This Row],[Age]]&lt;35,"25-34",Table1[[#This Row],[Age]]&lt;45,"35-44",Table1[[#This Row],[Age]]&lt;55,"45-54",TRUE,"55+")</f>
        <v>35-44</v>
      </c>
      <c r="L591" t="str">
        <f>"Q"&amp;ROUNDUP(MONTH(Table1[[#This Row],[Date]])/3,0)</f>
        <v>Q1</v>
      </c>
    </row>
    <row r="592" spans="1:12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5">
        <v>25</v>
      </c>
      <c r="I592" s="5">
        <v>100</v>
      </c>
      <c r="J592" s="2" t="str">
        <f>TEXT(Table1[[#This Row],[Date]],"mmm")</f>
        <v>Jan</v>
      </c>
      <c r="K592" t="str" cm="1">
        <f t="array" ref="K592">_xlfn.IFS(Table1[[#This Row],[Age]]&lt;25,"18-24",Table1[[#This Row],[Age]]&lt;35,"25-34",Table1[[#This Row],[Age]]&lt;45,"35-44",Table1[[#This Row],[Age]]&lt;55,"45-54",TRUE,"55+")</f>
        <v>45-54</v>
      </c>
      <c r="L592" t="str">
        <f>"Q"&amp;ROUNDUP(MONTH(Table1[[#This Row],[Date]])/3,0)</f>
        <v>Q1</v>
      </c>
    </row>
    <row r="593" spans="1:12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5">
        <v>500</v>
      </c>
      <c r="I593" s="5">
        <v>2000</v>
      </c>
      <c r="J593" s="2" t="str">
        <f>TEXT(Table1[[#This Row],[Date]],"mmm")</f>
        <v>Jan</v>
      </c>
      <c r="K593" t="str" cm="1">
        <f t="array" ref="K593">_xlfn.IFS(Table1[[#This Row],[Age]]&lt;25,"18-24",Table1[[#This Row],[Age]]&lt;35,"25-34",Table1[[#This Row],[Age]]&lt;45,"35-44",Table1[[#This Row],[Age]]&lt;55,"45-54",TRUE,"55+")</f>
        <v>45-54</v>
      </c>
      <c r="L593" t="str">
        <f>"Q"&amp;ROUNDUP(MONTH(Table1[[#This Row],[Date]])/3,0)</f>
        <v>Q1</v>
      </c>
    </row>
    <row r="594" spans="1:12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5">
        <v>30</v>
      </c>
      <c r="I594" s="5">
        <v>60</v>
      </c>
      <c r="J594" s="2" t="str">
        <f>TEXT(Table1[[#This Row],[Date]],"mmm")</f>
        <v>May</v>
      </c>
      <c r="K594" t="str" cm="1">
        <f t="array" ref="K594">_xlfn.IFS(Table1[[#This Row],[Age]]&lt;25,"18-24",Table1[[#This Row],[Age]]&lt;35,"25-34",Table1[[#This Row],[Age]]&lt;45,"35-44",Table1[[#This Row],[Age]]&lt;55,"45-54",TRUE,"55+")</f>
        <v>35-44</v>
      </c>
      <c r="L594" t="str">
        <f>"Q"&amp;ROUNDUP(MONTH(Table1[[#This Row],[Date]])/3,0)</f>
        <v>Q2</v>
      </c>
    </row>
    <row r="595" spans="1:12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5">
        <v>300</v>
      </c>
      <c r="I595" s="5">
        <v>600</v>
      </c>
      <c r="J595" s="2" t="str">
        <f>TEXT(Table1[[#This Row],[Date]],"mmm")</f>
        <v>Sep</v>
      </c>
      <c r="K595" t="str" cm="1">
        <f t="array" ref="K595">_xlfn.IFS(Table1[[#This Row],[Age]]&lt;25,"18-24",Table1[[#This Row],[Age]]&lt;35,"25-34",Table1[[#This Row],[Age]]&lt;45,"35-44",Table1[[#This Row],[Age]]&lt;55,"45-54",TRUE,"55+")</f>
        <v>18-24</v>
      </c>
      <c r="L595" t="str">
        <f>"Q"&amp;ROUNDUP(MONTH(Table1[[#This Row],[Date]])/3,0)</f>
        <v>Q3</v>
      </c>
    </row>
    <row r="596" spans="1:12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5">
        <v>500</v>
      </c>
      <c r="I596" s="5">
        <v>2000</v>
      </c>
      <c r="J596" s="2" t="str">
        <f>TEXT(Table1[[#This Row],[Date]],"mmm")</f>
        <v>Nov</v>
      </c>
      <c r="K596" t="str" cm="1">
        <f t="array" ref="K596">_xlfn.IFS(Table1[[#This Row],[Age]]&lt;25,"18-24",Table1[[#This Row],[Age]]&lt;35,"25-34",Table1[[#This Row],[Age]]&lt;45,"35-44",Table1[[#This Row],[Age]]&lt;55,"45-54",TRUE,"55+")</f>
        <v>18-24</v>
      </c>
      <c r="L596" t="str">
        <f>"Q"&amp;ROUNDUP(MONTH(Table1[[#This Row],[Date]])/3,0)</f>
        <v>Q4</v>
      </c>
    </row>
    <row r="597" spans="1:12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5">
        <v>300</v>
      </c>
      <c r="I597" s="5">
        <v>300</v>
      </c>
      <c r="J597" s="2" t="str">
        <f>TEXT(Table1[[#This Row],[Date]],"mmm")</f>
        <v>Feb</v>
      </c>
      <c r="K597" t="str" cm="1">
        <f t="array" ref="K597">_xlfn.IFS(Table1[[#This Row],[Age]]&lt;25,"18-24",Table1[[#This Row],[Age]]&lt;35,"25-34",Table1[[#This Row],[Age]]&lt;45,"35-44",Table1[[#This Row],[Age]]&lt;55,"45-54",TRUE,"55+")</f>
        <v>55+</v>
      </c>
      <c r="L597" t="str">
        <f>"Q"&amp;ROUNDUP(MONTH(Table1[[#This Row],[Date]])/3,0)</f>
        <v>Q1</v>
      </c>
    </row>
    <row r="598" spans="1:12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5">
        <v>300</v>
      </c>
      <c r="I598" s="5">
        <v>1200</v>
      </c>
      <c r="J598" s="2" t="str">
        <f>TEXT(Table1[[#This Row],[Date]],"mmm")</f>
        <v>Aug</v>
      </c>
      <c r="K598" t="str" cm="1">
        <f t="array" ref="K598">_xlfn.IFS(Table1[[#This Row],[Age]]&lt;25,"18-24",Table1[[#This Row],[Age]]&lt;35,"25-34",Table1[[#This Row],[Age]]&lt;45,"35-44",Table1[[#This Row],[Age]]&lt;55,"45-54",TRUE,"55+")</f>
        <v>18-24</v>
      </c>
      <c r="L598" t="str">
        <f>"Q"&amp;ROUNDUP(MONTH(Table1[[#This Row],[Date]])/3,0)</f>
        <v>Q3</v>
      </c>
    </row>
    <row r="599" spans="1:12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5">
        <v>30</v>
      </c>
      <c r="I599" s="5">
        <v>120</v>
      </c>
      <c r="J599" s="2" t="str">
        <f>TEXT(Table1[[#This Row],[Date]],"mmm")</f>
        <v>Aug</v>
      </c>
      <c r="K599" t="str" cm="1">
        <f t="array" ref="K599">_xlfn.IFS(Table1[[#This Row],[Age]]&lt;25,"18-24",Table1[[#This Row],[Age]]&lt;35,"25-34",Table1[[#This Row],[Age]]&lt;45,"35-44",Table1[[#This Row],[Age]]&lt;55,"45-54",TRUE,"55+")</f>
        <v>35-44</v>
      </c>
      <c r="L599" t="str">
        <f>"Q"&amp;ROUNDUP(MONTH(Table1[[#This Row],[Date]])/3,0)</f>
        <v>Q3</v>
      </c>
    </row>
    <row r="600" spans="1:12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5">
        <v>50</v>
      </c>
      <c r="I600" s="5">
        <v>100</v>
      </c>
      <c r="J600" s="2" t="str">
        <f>TEXT(Table1[[#This Row],[Date]],"mmm")</f>
        <v>Nov</v>
      </c>
      <c r="K600" t="str" cm="1">
        <f t="array" ref="K600">_xlfn.IFS(Table1[[#This Row],[Age]]&lt;25,"18-24",Table1[[#This Row],[Age]]&lt;35,"25-34",Table1[[#This Row],[Age]]&lt;45,"35-44",Table1[[#This Row],[Age]]&lt;55,"45-54",TRUE,"55+")</f>
        <v>25-34</v>
      </c>
      <c r="L600" t="str">
        <f>"Q"&amp;ROUNDUP(MONTH(Table1[[#This Row],[Date]])/3,0)</f>
        <v>Q4</v>
      </c>
    </row>
    <row r="601" spans="1:12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5">
        <v>500</v>
      </c>
      <c r="I601" s="5">
        <v>1000</v>
      </c>
      <c r="J601" s="2" t="str">
        <f>TEXT(Table1[[#This Row],[Date]],"mmm")</f>
        <v>Oct</v>
      </c>
      <c r="K601" t="str" cm="1">
        <f t="array" ref="K601">_xlfn.IFS(Table1[[#This Row],[Age]]&lt;25,"18-24",Table1[[#This Row],[Age]]&lt;35,"25-34",Table1[[#This Row],[Age]]&lt;45,"35-44",Table1[[#This Row],[Age]]&lt;55,"45-54",TRUE,"55+")</f>
        <v>55+</v>
      </c>
      <c r="L601" t="str">
        <f>"Q"&amp;ROUNDUP(MONTH(Table1[[#This Row],[Date]])/3,0)</f>
        <v>Q4</v>
      </c>
    </row>
    <row r="602" spans="1:12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5">
        <v>30</v>
      </c>
      <c r="I602" s="5">
        <v>30</v>
      </c>
      <c r="J602" s="2" t="str">
        <f>TEXT(Table1[[#This Row],[Date]],"mmm")</f>
        <v>Apr</v>
      </c>
      <c r="K602" t="str" cm="1">
        <f t="array" ref="K602">_xlfn.IFS(Table1[[#This Row],[Age]]&lt;25,"18-24",Table1[[#This Row],[Age]]&lt;35,"25-34",Table1[[#This Row],[Age]]&lt;45,"35-44",Table1[[#This Row],[Age]]&lt;55,"45-54",TRUE,"55+")</f>
        <v>18-24</v>
      </c>
      <c r="L602" t="str">
        <f>"Q"&amp;ROUNDUP(MONTH(Table1[[#This Row],[Date]])/3,0)</f>
        <v>Q2</v>
      </c>
    </row>
    <row r="603" spans="1:12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5">
        <v>300</v>
      </c>
      <c r="I603" s="5">
        <v>300</v>
      </c>
      <c r="J603" s="2" t="str">
        <f>TEXT(Table1[[#This Row],[Date]],"mmm")</f>
        <v>Dec</v>
      </c>
      <c r="K603" t="str" cm="1">
        <f t="array" ref="K603">_xlfn.IFS(Table1[[#This Row],[Age]]&lt;25,"18-24",Table1[[#This Row],[Age]]&lt;35,"25-34",Table1[[#This Row],[Age]]&lt;45,"35-44",Table1[[#This Row],[Age]]&lt;55,"45-54",TRUE,"55+")</f>
        <v>18-24</v>
      </c>
      <c r="L603" t="str">
        <f>"Q"&amp;ROUNDUP(MONTH(Table1[[#This Row],[Date]])/3,0)</f>
        <v>Q4</v>
      </c>
    </row>
    <row r="604" spans="1:12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5">
        <v>30</v>
      </c>
      <c r="I604" s="5">
        <v>90</v>
      </c>
      <c r="J604" s="2" t="str">
        <f>TEXT(Table1[[#This Row],[Date]],"mmm")</f>
        <v>Jul</v>
      </c>
      <c r="K604" t="str" cm="1">
        <f t="array" ref="K604">_xlfn.IFS(Table1[[#This Row],[Age]]&lt;25,"18-24",Table1[[#This Row],[Age]]&lt;35,"25-34",Table1[[#This Row],[Age]]&lt;45,"35-44",Table1[[#This Row],[Age]]&lt;55,"45-54",TRUE,"55+")</f>
        <v>35-44</v>
      </c>
      <c r="L604" t="str">
        <f>"Q"&amp;ROUNDUP(MONTH(Table1[[#This Row],[Date]])/3,0)</f>
        <v>Q3</v>
      </c>
    </row>
    <row r="605" spans="1:12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5">
        <v>50</v>
      </c>
      <c r="I605" s="5">
        <v>200</v>
      </c>
      <c r="J605" s="2" t="str">
        <f>TEXT(Table1[[#This Row],[Date]],"mmm")</f>
        <v>Sep</v>
      </c>
      <c r="K605" t="str" cm="1">
        <f t="array" ref="K605">_xlfn.IFS(Table1[[#This Row],[Age]]&lt;25,"18-24",Table1[[#This Row],[Age]]&lt;35,"25-34",Table1[[#This Row],[Age]]&lt;45,"35-44",Table1[[#This Row],[Age]]&lt;55,"45-54",TRUE,"55+")</f>
        <v>25-34</v>
      </c>
      <c r="L605" t="str">
        <f>"Q"&amp;ROUNDUP(MONTH(Table1[[#This Row],[Date]])/3,0)</f>
        <v>Q3</v>
      </c>
    </row>
    <row r="606" spans="1:12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5">
        <v>500</v>
      </c>
      <c r="I606" s="5">
        <v>1000</v>
      </c>
      <c r="J606" s="2" t="str">
        <f>TEXT(Table1[[#This Row],[Date]],"mmm")</f>
        <v>Jul</v>
      </c>
      <c r="K606" t="str" cm="1">
        <f t="array" ref="K606">_xlfn.IFS(Table1[[#This Row],[Age]]&lt;25,"18-24",Table1[[#This Row],[Age]]&lt;35,"25-34",Table1[[#This Row],[Age]]&lt;45,"35-44",Table1[[#This Row],[Age]]&lt;55,"45-54",TRUE,"55+")</f>
        <v>35-44</v>
      </c>
      <c r="L606" t="str">
        <f>"Q"&amp;ROUNDUP(MONTH(Table1[[#This Row],[Date]])/3,0)</f>
        <v>Q3</v>
      </c>
    </row>
    <row r="607" spans="1:12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5">
        <v>50</v>
      </c>
      <c r="I607" s="5">
        <v>50</v>
      </c>
      <c r="J607" s="2" t="str">
        <f>TEXT(Table1[[#This Row],[Date]],"mmm")</f>
        <v>May</v>
      </c>
      <c r="K607" t="str" cm="1">
        <f t="array" ref="K607">_xlfn.IFS(Table1[[#This Row],[Age]]&lt;25,"18-24",Table1[[#This Row],[Age]]&lt;35,"25-34",Table1[[#This Row],[Age]]&lt;45,"35-44",Table1[[#This Row],[Age]]&lt;55,"45-54",TRUE,"55+")</f>
        <v>18-24</v>
      </c>
      <c r="L607" t="str">
        <f>"Q"&amp;ROUNDUP(MONTH(Table1[[#This Row],[Date]])/3,0)</f>
        <v>Q2</v>
      </c>
    </row>
    <row r="608" spans="1:12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5">
        <v>25</v>
      </c>
      <c r="I608" s="5">
        <v>75</v>
      </c>
      <c r="J608" s="2" t="str">
        <f>TEXT(Table1[[#This Row],[Date]],"mmm")</f>
        <v>Mar</v>
      </c>
      <c r="K608" t="str" cm="1">
        <f t="array" ref="K608">_xlfn.IFS(Table1[[#This Row],[Age]]&lt;25,"18-24",Table1[[#This Row],[Age]]&lt;35,"25-34",Table1[[#This Row],[Age]]&lt;45,"35-44",Table1[[#This Row],[Age]]&lt;55,"45-54",TRUE,"55+")</f>
        <v>45-54</v>
      </c>
      <c r="L608" t="str">
        <f>"Q"&amp;ROUNDUP(MONTH(Table1[[#This Row],[Date]])/3,0)</f>
        <v>Q1</v>
      </c>
    </row>
    <row r="609" spans="1:12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5">
        <v>500</v>
      </c>
      <c r="I609" s="5">
        <v>1500</v>
      </c>
      <c r="J609" s="2" t="str">
        <f>TEXT(Table1[[#This Row],[Date]],"mmm")</f>
        <v>Dec</v>
      </c>
      <c r="K609" t="str" cm="1">
        <f t="array" ref="K609">_xlfn.IFS(Table1[[#This Row],[Age]]&lt;25,"18-24",Table1[[#This Row],[Age]]&lt;35,"25-34",Table1[[#This Row],[Age]]&lt;45,"35-44",Table1[[#This Row],[Age]]&lt;55,"45-54",TRUE,"55+")</f>
        <v>55+</v>
      </c>
      <c r="L609" t="str">
        <f>"Q"&amp;ROUNDUP(MONTH(Table1[[#This Row],[Date]])/3,0)</f>
        <v>Q4</v>
      </c>
    </row>
    <row r="610" spans="1:12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5">
        <v>50</v>
      </c>
      <c r="I610" s="5">
        <v>100</v>
      </c>
      <c r="J610" s="2" t="str">
        <f>TEXT(Table1[[#This Row],[Date]],"mmm")</f>
        <v>Dec</v>
      </c>
      <c r="K610" t="str" cm="1">
        <f t="array" ref="K610">_xlfn.IFS(Table1[[#This Row],[Age]]&lt;25,"18-24",Table1[[#This Row],[Age]]&lt;35,"25-34",Table1[[#This Row],[Age]]&lt;45,"35-44",Table1[[#This Row],[Age]]&lt;55,"45-54",TRUE,"55+")</f>
        <v>45-54</v>
      </c>
      <c r="L610" t="str">
        <f>"Q"&amp;ROUNDUP(MONTH(Table1[[#This Row],[Date]])/3,0)</f>
        <v>Q4</v>
      </c>
    </row>
    <row r="611" spans="1:12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5">
        <v>300</v>
      </c>
      <c r="I611" s="5">
        <v>600</v>
      </c>
      <c r="J611" s="2" t="str">
        <f>TEXT(Table1[[#This Row],[Date]],"mmm")</f>
        <v>Jan</v>
      </c>
      <c r="K611" t="str" cm="1">
        <f t="array" ref="K611">_xlfn.IFS(Table1[[#This Row],[Age]]&lt;25,"18-24",Table1[[#This Row],[Age]]&lt;35,"25-34",Table1[[#This Row],[Age]]&lt;45,"35-44",Table1[[#This Row],[Age]]&lt;55,"45-54",TRUE,"55+")</f>
        <v>25-34</v>
      </c>
      <c r="L611" t="str">
        <f>"Q"&amp;ROUNDUP(MONTH(Table1[[#This Row],[Date]])/3,0)</f>
        <v>Q1</v>
      </c>
    </row>
    <row r="612" spans="1:12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5">
        <v>500</v>
      </c>
      <c r="I612" s="5">
        <v>1500</v>
      </c>
      <c r="J612" s="2" t="str">
        <f>TEXT(Table1[[#This Row],[Date]],"mmm")</f>
        <v>Feb</v>
      </c>
      <c r="K612" t="str" cm="1">
        <f t="array" ref="K612">_xlfn.IFS(Table1[[#This Row],[Age]]&lt;25,"18-24",Table1[[#This Row],[Age]]&lt;35,"25-34",Table1[[#This Row],[Age]]&lt;45,"35-44",Table1[[#This Row],[Age]]&lt;55,"45-54",TRUE,"55+")</f>
        <v>45-54</v>
      </c>
      <c r="L612" t="str">
        <f>"Q"&amp;ROUNDUP(MONTH(Table1[[#This Row],[Date]])/3,0)</f>
        <v>Q1</v>
      </c>
    </row>
    <row r="613" spans="1:12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5">
        <v>500</v>
      </c>
      <c r="I613" s="5">
        <v>500</v>
      </c>
      <c r="J613" s="2" t="str">
        <f>TEXT(Table1[[#This Row],[Date]],"mmm")</f>
        <v>Aug</v>
      </c>
      <c r="K613" t="str" cm="1">
        <f t="array" ref="K613">_xlfn.IFS(Table1[[#This Row],[Age]]&lt;25,"18-24",Table1[[#This Row],[Age]]&lt;35,"25-34",Table1[[#This Row],[Age]]&lt;45,"35-44",Table1[[#This Row],[Age]]&lt;55,"45-54",TRUE,"55+")</f>
        <v>55+</v>
      </c>
      <c r="L613" t="str">
        <f>"Q"&amp;ROUNDUP(MONTH(Table1[[#This Row],[Date]])/3,0)</f>
        <v>Q3</v>
      </c>
    </row>
    <row r="614" spans="1:12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5">
        <v>30</v>
      </c>
      <c r="I614" s="5">
        <v>90</v>
      </c>
      <c r="J614" s="2" t="str">
        <f>TEXT(Table1[[#This Row],[Date]],"mmm")</f>
        <v>Apr</v>
      </c>
      <c r="K614" t="str" cm="1">
        <f t="array" ref="K614">_xlfn.IFS(Table1[[#This Row],[Age]]&lt;25,"18-24",Table1[[#This Row],[Age]]&lt;35,"25-34",Table1[[#This Row],[Age]]&lt;45,"35-44",Table1[[#This Row],[Age]]&lt;55,"45-54",TRUE,"55+")</f>
        <v>45-54</v>
      </c>
      <c r="L614" t="str">
        <f>"Q"&amp;ROUNDUP(MONTH(Table1[[#This Row],[Date]])/3,0)</f>
        <v>Q2</v>
      </c>
    </row>
    <row r="615" spans="1:12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5">
        <v>300</v>
      </c>
      <c r="I615" s="5">
        <v>1200</v>
      </c>
      <c r="J615" s="2" t="str">
        <f>TEXT(Table1[[#This Row],[Date]],"mmm")</f>
        <v>Apr</v>
      </c>
      <c r="K615" t="str" cm="1">
        <f t="array" ref="K615">_xlfn.IFS(Table1[[#This Row],[Age]]&lt;25,"18-24",Table1[[#This Row],[Age]]&lt;35,"25-34",Table1[[#This Row],[Age]]&lt;45,"35-44",Table1[[#This Row],[Age]]&lt;55,"45-54",TRUE,"55+")</f>
        <v>35-44</v>
      </c>
      <c r="L615" t="str">
        <f>"Q"&amp;ROUNDUP(MONTH(Table1[[#This Row],[Date]])/3,0)</f>
        <v>Q2</v>
      </c>
    </row>
    <row r="616" spans="1:12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5">
        <v>25</v>
      </c>
      <c r="I616" s="5">
        <v>100</v>
      </c>
      <c r="J616" s="2" t="str">
        <f>TEXT(Table1[[#This Row],[Date]],"mmm")</f>
        <v>Dec</v>
      </c>
      <c r="K616" t="str" cm="1">
        <f t="array" ref="K616">_xlfn.IFS(Table1[[#This Row],[Age]]&lt;25,"18-24",Table1[[#This Row],[Age]]&lt;35,"25-34",Table1[[#This Row],[Age]]&lt;45,"35-44",Table1[[#This Row],[Age]]&lt;55,"45-54",TRUE,"55+")</f>
        <v>55+</v>
      </c>
      <c r="L616" t="str">
        <f>"Q"&amp;ROUNDUP(MONTH(Table1[[#This Row],[Date]])/3,0)</f>
        <v>Q4</v>
      </c>
    </row>
    <row r="617" spans="1:12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5">
        <v>50</v>
      </c>
      <c r="I617" s="5">
        <v>100</v>
      </c>
      <c r="J617" s="2" t="str">
        <f>TEXT(Table1[[#This Row],[Date]],"mmm")</f>
        <v>Sep</v>
      </c>
      <c r="K617" t="str" cm="1">
        <f t="array" ref="K617">_xlfn.IFS(Table1[[#This Row],[Age]]&lt;25,"18-24",Table1[[#This Row],[Age]]&lt;35,"25-34",Table1[[#This Row],[Age]]&lt;45,"35-44",Table1[[#This Row],[Age]]&lt;55,"45-54",TRUE,"55+")</f>
        <v>35-44</v>
      </c>
      <c r="L617" t="str">
        <f>"Q"&amp;ROUNDUP(MONTH(Table1[[#This Row],[Date]])/3,0)</f>
        <v>Q3</v>
      </c>
    </row>
    <row r="618" spans="1:12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5">
        <v>30</v>
      </c>
      <c r="I618" s="5">
        <v>30</v>
      </c>
      <c r="J618" s="2" t="str">
        <f>TEXT(Table1[[#This Row],[Date]],"mmm")</f>
        <v>Aug</v>
      </c>
      <c r="K618" t="str" cm="1">
        <f t="array" ref="K618">_xlfn.IFS(Table1[[#This Row],[Age]]&lt;25,"18-24",Table1[[#This Row],[Age]]&lt;35,"25-34",Table1[[#This Row],[Age]]&lt;45,"35-44",Table1[[#This Row],[Age]]&lt;55,"45-54",TRUE,"55+")</f>
        <v>25-34</v>
      </c>
      <c r="L618" t="str">
        <f>"Q"&amp;ROUNDUP(MONTH(Table1[[#This Row],[Date]])/3,0)</f>
        <v>Q3</v>
      </c>
    </row>
    <row r="619" spans="1:12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5">
        <v>50</v>
      </c>
      <c r="I619" s="5">
        <v>50</v>
      </c>
      <c r="J619" s="2" t="str">
        <f>TEXT(Table1[[#This Row],[Date]],"mmm")</f>
        <v>Jan</v>
      </c>
      <c r="K619" t="str" cm="1">
        <f t="array" ref="K619">_xlfn.IFS(Table1[[#This Row],[Age]]&lt;25,"18-24",Table1[[#This Row],[Age]]&lt;35,"25-34",Table1[[#This Row],[Age]]&lt;45,"35-44",Table1[[#This Row],[Age]]&lt;55,"45-54",TRUE,"55+")</f>
        <v>25-34</v>
      </c>
      <c r="L619" t="str">
        <f>"Q"&amp;ROUNDUP(MONTH(Table1[[#This Row],[Date]])/3,0)</f>
        <v>Q1</v>
      </c>
    </row>
    <row r="620" spans="1:12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5">
        <v>25</v>
      </c>
      <c r="I620" s="5">
        <v>100</v>
      </c>
      <c r="J620" s="2" t="str">
        <f>TEXT(Table1[[#This Row],[Date]],"mmm")</f>
        <v>Oct</v>
      </c>
      <c r="K620" t="str" cm="1">
        <f t="array" ref="K620">_xlfn.IFS(Table1[[#This Row],[Age]]&lt;25,"18-24",Table1[[#This Row],[Age]]&lt;35,"25-34",Table1[[#This Row],[Age]]&lt;45,"35-44",Table1[[#This Row],[Age]]&lt;55,"45-54",TRUE,"55+")</f>
        <v>45-54</v>
      </c>
      <c r="L620" t="str">
        <f>"Q"&amp;ROUNDUP(MONTH(Table1[[#This Row],[Date]])/3,0)</f>
        <v>Q4</v>
      </c>
    </row>
    <row r="621" spans="1:12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5">
        <v>25</v>
      </c>
      <c r="I621" s="5">
        <v>75</v>
      </c>
      <c r="J621" s="2" t="str">
        <f>TEXT(Table1[[#This Row],[Date]],"mmm")</f>
        <v>May</v>
      </c>
      <c r="K621" t="str" cm="1">
        <f t="array" ref="K621">_xlfn.IFS(Table1[[#This Row],[Age]]&lt;25,"18-24",Table1[[#This Row],[Age]]&lt;35,"25-34",Table1[[#This Row],[Age]]&lt;45,"35-44",Table1[[#This Row],[Age]]&lt;55,"45-54",TRUE,"55+")</f>
        <v>55+</v>
      </c>
      <c r="L621" t="str">
        <f>"Q"&amp;ROUNDUP(MONTH(Table1[[#This Row],[Date]])/3,0)</f>
        <v>Q2</v>
      </c>
    </row>
    <row r="622" spans="1:12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5">
        <v>500</v>
      </c>
      <c r="I622" s="5">
        <v>1000</v>
      </c>
      <c r="J622" s="2" t="str">
        <f>TEXT(Table1[[#This Row],[Date]],"mmm")</f>
        <v>Mar</v>
      </c>
      <c r="K622" t="str" cm="1">
        <f t="array" ref="K622">_xlfn.IFS(Table1[[#This Row],[Age]]&lt;25,"18-24",Table1[[#This Row],[Age]]&lt;35,"25-34",Table1[[#This Row],[Age]]&lt;45,"35-44",Table1[[#This Row],[Age]]&lt;55,"45-54",TRUE,"55+")</f>
        <v>35-44</v>
      </c>
      <c r="L622" t="str">
        <f>"Q"&amp;ROUNDUP(MONTH(Table1[[#This Row],[Date]])/3,0)</f>
        <v>Q1</v>
      </c>
    </row>
    <row r="623" spans="1:12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5">
        <v>25</v>
      </c>
      <c r="I623" s="5">
        <v>75</v>
      </c>
      <c r="J623" s="2" t="str">
        <f>TEXT(Table1[[#This Row],[Date]],"mmm")</f>
        <v>Aug</v>
      </c>
      <c r="K623" t="str" cm="1">
        <f t="array" ref="K623">_xlfn.IFS(Table1[[#This Row],[Age]]&lt;25,"18-24",Table1[[#This Row],[Age]]&lt;35,"25-34",Table1[[#This Row],[Age]]&lt;45,"35-44",Table1[[#This Row],[Age]]&lt;55,"45-54",TRUE,"55+")</f>
        <v>45-54</v>
      </c>
      <c r="L623" t="str">
        <f>"Q"&amp;ROUNDUP(MONTH(Table1[[#This Row],[Date]])/3,0)</f>
        <v>Q3</v>
      </c>
    </row>
    <row r="624" spans="1:12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5">
        <v>50</v>
      </c>
      <c r="I624" s="5">
        <v>150</v>
      </c>
      <c r="J624" s="2" t="str">
        <f>TEXT(Table1[[#This Row],[Date]],"mmm")</f>
        <v>Mar</v>
      </c>
      <c r="K624" t="str" cm="1">
        <f t="array" ref="K624">_xlfn.IFS(Table1[[#This Row],[Age]]&lt;25,"18-24",Table1[[#This Row],[Age]]&lt;35,"25-34",Table1[[#This Row],[Age]]&lt;45,"35-44",Table1[[#This Row],[Age]]&lt;55,"45-54",TRUE,"55+")</f>
        <v>25-34</v>
      </c>
      <c r="L624" t="str">
        <f>"Q"&amp;ROUNDUP(MONTH(Table1[[#This Row],[Date]])/3,0)</f>
        <v>Q1</v>
      </c>
    </row>
    <row r="625" spans="1:12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5">
        <v>300</v>
      </c>
      <c r="I625" s="5">
        <v>900</v>
      </c>
      <c r="J625" s="2" t="str">
        <f>TEXT(Table1[[#This Row],[Date]],"mmm")</f>
        <v>Aug</v>
      </c>
      <c r="K625" t="str" cm="1">
        <f t="array" ref="K625">_xlfn.IFS(Table1[[#This Row],[Age]]&lt;25,"18-24",Table1[[#This Row],[Age]]&lt;35,"25-34",Table1[[#This Row],[Age]]&lt;45,"35-44",Table1[[#This Row],[Age]]&lt;55,"45-54",TRUE,"55+")</f>
        <v>25-34</v>
      </c>
      <c r="L625" t="str">
        <f>"Q"&amp;ROUNDUP(MONTH(Table1[[#This Row],[Date]])/3,0)</f>
        <v>Q3</v>
      </c>
    </row>
    <row r="626" spans="1:12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5">
        <v>300</v>
      </c>
      <c r="I626" s="5">
        <v>300</v>
      </c>
      <c r="J626" s="2" t="str">
        <f>TEXT(Table1[[#This Row],[Date]],"mmm")</f>
        <v>Dec</v>
      </c>
      <c r="K626" t="str" cm="1">
        <f t="array" ref="K626">_xlfn.IFS(Table1[[#This Row],[Age]]&lt;25,"18-24",Table1[[#This Row],[Age]]&lt;35,"25-34",Table1[[#This Row],[Age]]&lt;45,"35-44",Table1[[#This Row],[Age]]&lt;55,"45-54",TRUE,"55+")</f>
        <v>25-34</v>
      </c>
      <c r="L626" t="str">
        <f>"Q"&amp;ROUNDUP(MONTH(Table1[[#This Row],[Date]])/3,0)</f>
        <v>Q4</v>
      </c>
    </row>
    <row r="627" spans="1:12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5">
        <v>500</v>
      </c>
      <c r="I627" s="5">
        <v>2000</v>
      </c>
      <c r="J627" s="2" t="str">
        <f>TEXT(Table1[[#This Row],[Date]],"mmm")</f>
        <v>Sep</v>
      </c>
      <c r="K627" t="str" cm="1">
        <f t="array" ref="K627">_xlfn.IFS(Table1[[#This Row],[Age]]&lt;25,"18-24",Table1[[#This Row],[Age]]&lt;35,"25-34",Table1[[#This Row],[Age]]&lt;45,"35-44",Table1[[#This Row],[Age]]&lt;55,"45-54",TRUE,"55+")</f>
        <v>25-34</v>
      </c>
      <c r="L627" t="str">
        <f>"Q"&amp;ROUNDUP(MONTH(Table1[[#This Row],[Date]])/3,0)</f>
        <v>Q3</v>
      </c>
    </row>
    <row r="628" spans="1:12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5">
        <v>50</v>
      </c>
      <c r="I628" s="5">
        <v>50</v>
      </c>
      <c r="J628" s="2" t="str">
        <f>TEXT(Table1[[#This Row],[Date]],"mmm")</f>
        <v>Oct</v>
      </c>
      <c r="K628" t="str" cm="1">
        <f t="array" ref="K628">_xlfn.IFS(Table1[[#This Row],[Age]]&lt;25,"18-24",Table1[[#This Row],[Age]]&lt;35,"25-34",Table1[[#This Row],[Age]]&lt;45,"35-44",Table1[[#This Row],[Age]]&lt;55,"45-54",TRUE,"55+")</f>
        <v>55+</v>
      </c>
      <c r="L628" t="str">
        <f>"Q"&amp;ROUNDUP(MONTH(Table1[[#This Row],[Date]])/3,0)</f>
        <v>Q4</v>
      </c>
    </row>
    <row r="629" spans="1:12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5">
        <v>50</v>
      </c>
      <c r="I629" s="5">
        <v>200</v>
      </c>
      <c r="J629" s="2" t="str">
        <f>TEXT(Table1[[#This Row],[Date]],"mmm")</f>
        <v>Nov</v>
      </c>
      <c r="K629" t="str" cm="1">
        <f t="array" ref="K629">_xlfn.IFS(Table1[[#This Row],[Age]]&lt;25,"18-24",Table1[[#This Row],[Age]]&lt;35,"25-34",Table1[[#This Row],[Age]]&lt;45,"35-44",Table1[[#This Row],[Age]]&lt;55,"45-54",TRUE,"55+")</f>
        <v>18-24</v>
      </c>
      <c r="L629" t="str">
        <f>"Q"&amp;ROUNDUP(MONTH(Table1[[#This Row],[Date]])/3,0)</f>
        <v>Q4</v>
      </c>
    </row>
    <row r="630" spans="1:12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5">
        <v>25</v>
      </c>
      <c r="I630" s="5">
        <v>50</v>
      </c>
      <c r="J630" s="2" t="str">
        <f>TEXT(Table1[[#This Row],[Date]],"mmm")</f>
        <v>Jun</v>
      </c>
      <c r="K630" t="str" cm="1">
        <f t="array" ref="K630">_xlfn.IFS(Table1[[#This Row],[Age]]&lt;25,"18-24",Table1[[#This Row],[Age]]&lt;35,"25-34",Table1[[#This Row],[Age]]&lt;45,"35-44",Table1[[#This Row],[Age]]&lt;55,"45-54",TRUE,"55+")</f>
        <v>55+</v>
      </c>
      <c r="L630" t="str">
        <f>"Q"&amp;ROUNDUP(MONTH(Table1[[#This Row],[Date]])/3,0)</f>
        <v>Q2</v>
      </c>
    </row>
    <row r="631" spans="1:12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5">
        <v>50</v>
      </c>
      <c r="I631" s="5">
        <v>100</v>
      </c>
      <c r="J631" s="2" t="str">
        <f>TEXT(Table1[[#This Row],[Date]],"mmm")</f>
        <v>Aug</v>
      </c>
      <c r="K631" t="str" cm="1">
        <f t="array" ref="K631">_xlfn.IFS(Table1[[#This Row],[Age]]&lt;25,"18-24",Table1[[#This Row],[Age]]&lt;35,"25-34",Table1[[#This Row],[Age]]&lt;45,"35-44",Table1[[#This Row],[Age]]&lt;55,"45-54",TRUE,"55+")</f>
        <v>35-44</v>
      </c>
      <c r="L631" t="str">
        <f>"Q"&amp;ROUNDUP(MONTH(Table1[[#This Row],[Date]])/3,0)</f>
        <v>Q3</v>
      </c>
    </row>
    <row r="632" spans="1:12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5">
        <v>30</v>
      </c>
      <c r="I632" s="5">
        <v>90</v>
      </c>
      <c r="J632" s="2" t="str">
        <f>TEXT(Table1[[#This Row],[Date]],"mmm")</f>
        <v>Nov</v>
      </c>
      <c r="K632" t="str" cm="1">
        <f t="array" ref="K632">_xlfn.IFS(Table1[[#This Row],[Age]]&lt;25,"18-24",Table1[[#This Row],[Age]]&lt;35,"25-34",Table1[[#This Row],[Age]]&lt;45,"35-44",Table1[[#This Row],[Age]]&lt;55,"45-54",TRUE,"55+")</f>
        <v>55+</v>
      </c>
      <c r="L632" t="str">
        <f>"Q"&amp;ROUNDUP(MONTH(Table1[[#This Row],[Date]])/3,0)</f>
        <v>Q4</v>
      </c>
    </row>
    <row r="633" spans="1:12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5">
        <v>25</v>
      </c>
      <c r="I633" s="5">
        <v>100</v>
      </c>
      <c r="J633" s="2" t="str">
        <f>TEXT(Table1[[#This Row],[Date]],"mmm")</f>
        <v>Sep</v>
      </c>
      <c r="K633" t="str" cm="1">
        <f t="array" ref="K633">_xlfn.IFS(Table1[[#This Row],[Age]]&lt;25,"18-24",Table1[[#This Row],[Age]]&lt;35,"25-34",Table1[[#This Row],[Age]]&lt;45,"35-44",Table1[[#This Row],[Age]]&lt;55,"45-54",TRUE,"55+")</f>
        <v>25-34</v>
      </c>
      <c r="L633" t="str">
        <f>"Q"&amp;ROUNDUP(MONTH(Table1[[#This Row],[Date]])/3,0)</f>
        <v>Q3</v>
      </c>
    </row>
    <row r="634" spans="1:12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5">
        <v>30</v>
      </c>
      <c r="I634" s="5">
        <v>120</v>
      </c>
      <c r="J634" s="2" t="str">
        <f>TEXT(Table1[[#This Row],[Date]],"mmm")</f>
        <v>Aug</v>
      </c>
      <c r="K634" t="str" cm="1">
        <f t="array" ref="K634">_xlfn.IFS(Table1[[#This Row],[Age]]&lt;25,"18-24",Table1[[#This Row],[Age]]&lt;35,"25-34",Table1[[#This Row],[Age]]&lt;45,"35-44",Table1[[#This Row],[Age]]&lt;55,"45-54",TRUE,"55+")</f>
        <v>35-44</v>
      </c>
      <c r="L634" t="str">
        <f>"Q"&amp;ROUNDUP(MONTH(Table1[[#This Row],[Date]])/3,0)</f>
        <v>Q3</v>
      </c>
    </row>
    <row r="635" spans="1:12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5">
        <v>500</v>
      </c>
      <c r="I635" s="5">
        <v>2000</v>
      </c>
      <c r="J635" s="2" t="str">
        <f>TEXT(Table1[[#This Row],[Date]],"mmm")</f>
        <v>Oct</v>
      </c>
      <c r="K635" t="str" cm="1">
        <f t="array" ref="K635">_xlfn.IFS(Table1[[#This Row],[Age]]&lt;25,"18-24",Table1[[#This Row],[Age]]&lt;35,"25-34",Table1[[#This Row],[Age]]&lt;45,"35-44",Table1[[#This Row],[Age]]&lt;55,"45-54",TRUE,"55+")</f>
        <v>55+</v>
      </c>
      <c r="L635" t="str">
        <f>"Q"&amp;ROUNDUP(MONTH(Table1[[#This Row],[Date]])/3,0)</f>
        <v>Q4</v>
      </c>
    </row>
    <row r="636" spans="1:12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5">
        <v>300</v>
      </c>
      <c r="I636" s="5">
        <v>900</v>
      </c>
      <c r="J636" s="2" t="str">
        <f>TEXT(Table1[[#This Row],[Date]],"mmm")</f>
        <v>Aug</v>
      </c>
      <c r="K636" t="str" cm="1">
        <f t="array" ref="K636">_xlfn.IFS(Table1[[#This Row],[Age]]&lt;25,"18-24",Table1[[#This Row],[Age]]&lt;35,"25-34",Table1[[#This Row],[Age]]&lt;45,"35-44",Table1[[#This Row],[Age]]&lt;55,"45-54",TRUE,"55+")</f>
        <v>55+</v>
      </c>
      <c r="L636" t="str">
        <f>"Q"&amp;ROUNDUP(MONTH(Table1[[#This Row],[Date]])/3,0)</f>
        <v>Q3</v>
      </c>
    </row>
    <row r="637" spans="1:12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5">
        <v>500</v>
      </c>
      <c r="I637" s="5">
        <v>1500</v>
      </c>
      <c r="J637" s="2" t="str">
        <f>TEXT(Table1[[#This Row],[Date]],"mmm")</f>
        <v>Mar</v>
      </c>
      <c r="K637" t="str" cm="1">
        <f t="array" ref="K637">_xlfn.IFS(Table1[[#This Row],[Age]]&lt;25,"18-24",Table1[[#This Row],[Age]]&lt;35,"25-34",Table1[[#This Row],[Age]]&lt;45,"35-44",Table1[[#This Row],[Age]]&lt;55,"45-54",TRUE,"55+")</f>
        <v>18-24</v>
      </c>
      <c r="L637" t="str">
        <f>"Q"&amp;ROUNDUP(MONTH(Table1[[#This Row],[Date]])/3,0)</f>
        <v>Q1</v>
      </c>
    </row>
    <row r="638" spans="1:12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5">
        <v>300</v>
      </c>
      <c r="I638" s="5">
        <v>600</v>
      </c>
      <c r="J638" s="2" t="str">
        <f>TEXT(Table1[[#This Row],[Date]],"mmm")</f>
        <v>Sep</v>
      </c>
      <c r="K638" t="str" cm="1">
        <f t="array" ref="K638">_xlfn.IFS(Table1[[#This Row],[Age]]&lt;25,"18-24",Table1[[#This Row],[Age]]&lt;35,"25-34",Table1[[#This Row],[Age]]&lt;45,"35-44",Table1[[#This Row],[Age]]&lt;55,"45-54",TRUE,"55+")</f>
        <v>35-44</v>
      </c>
      <c r="L638" t="str">
        <f>"Q"&amp;ROUNDUP(MONTH(Table1[[#This Row],[Date]])/3,0)</f>
        <v>Q3</v>
      </c>
    </row>
    <row r="639" spans="1:12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5">
        <v>500</v>
      </c>
      <c r="I639" s="5">
        <v>500</v>
      </c>
      <c r="J639" s="2" t="str">
        <f>TEXT(Table1[[#This Row],[Date]],"mmm")</f>
        <v>Aug</v>
      </c>
      <c r="K639" t="str" cm="1">
        <f t="array" ref="K639">_xlfn.IFS(Table1[[#This Row],[Age]]&lt;25,"18-24",Table1[[#This Row],[Age]]&lt;35,"25-34",Table1[[#This Row],[Age]]&lt;45,"35-44",Table1[[#This Row],[Age]]&lt;55,"45-54",TRUE,"55+")</f>
        <v>45-54</v>
      </c>
      <c r="L639" t="str">
        <f>"Q"&amp;ROUNDUP(MONTH(Table1[[#This Row],[Date]])/3,0)</f>
        <v>Q3</v>
      </c>
    </row>
    <row r="640" spans="1:12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5">
        <v>50</v>
      </c>
      <c r="I640" s="5">
        <v>200</v>
      </c>
      <c r="J640" s="2" t="str">
        <f>TEXT(Table1[[#This Row],[Date]],"mmm")</f>
        <v>May</v>
      </c>
      <c r="K640" t="str" cm="1">
        <f t="array" ref="K640">_xlfn.IFS(Table1[[#This Row],[Age]]&lt;25,"18-24",Table1[[#This Row],[Age]]&lt;35,"25-34",Table1[[#This Row],[Age]]&lt;45,"35-44",Table1[[#This Row],[Age]]&lt;55,"45-54",TRUE,"55+")</f>
        <v>55+</v>
      </c>
      <c r="L640" t="str">
        <f>"Q"&amp;ROUNDUP(MONTH(Table1[[#This Row],[Date]])/3,0)</f>
        <v>Q2</v>
      </c>
    </row>
    <row r="641" spans="1:12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5">
        <v>30</v>
      </c>
      <c r="I641" s="5">
        <v>120</v>
      </c>
      <c r="J641" s="2" t="str">
        <f>TEXT(Table1[[#This Row],[Date]],"mmm")</f>
        <v>May</v>
      </c>
      <c r="K641" t="str" cm="1">
        <f t="array" ref="K641">_xlfn.IFS(Table1[[#This Row],[Age]]&lt;25,"18-24",Table1[[#This Row],[Age]]&lt;35,"25-34",Table1[[#This Row],[Age]]&lt;45,"35-44",Table1[[#This Row],[Age]]&lt;55,"45-54",TRUE,"55+")</f>
        <v>45-54</v>
      </c>
      <c r="L641" t="str">
        <f>"Q"&amp;ROUNDUP(MONTH(Table1[[#This Row],[Date]])/3,0)</f>
        <v>Q2</v>
      </c>
    </row>
    <row r="642" spans="1:12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5">
        <v>300</v>
      </c>
      <c r="I642" s="5">
        <v>300</v>
      </c>
      <c r="J642" s="2" t="str">
        <f>TEXT(Table1[[#This Row],[Date]],"mmm")</f>
        <v>Nov</v>
      </c>
      <c r="K642" t="str" cm="1">
        <f t="array" ref="K642">_xlfn.IFS(Table1[[#This Row],[Age]]&lt;25,"18-24",Table1[[#This Row],[Age]]&lt;35,"25-34",Table1[[#This Row],[Age]]&lt;45,"35-44",Table1[[#This Row],[Age]]&lt;55,"45-54",TRUE,"55+")</f>
        <v>35-44</v>
      </c>
      <c r="L642" t="str">
        <f>"Q"&amp;ROUNDUP(MONTH(Table1[[#This Row],[Date]])/3,0)</f>
        <v>Q4</v>
      </c>
    </row>
    <row r="643" spans="1:12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5">
        <v>25</v>
      </c>
      <c r="I643" s="5">
        <v>100</v>
      </c>
      <c r="J643" s="2" t="str">
        <f>TEXT(Table1[[#This Row],[Date]],"mmm")</f>
        <v>May</v>
      </c>
      <c r="K643" t="str" cm="1">
        <f t="array" ref="K643">_xlfn.IFS(Table1[[#This Row],[Age]]&lt;25,"18-24",Table1[[#This Row],[Age]]&lt;35,"25-34",Table1[[#This Row],[Age]]&lt;45,"35-44",Table1[[#This Row],[Age]]&lt;55,"45-54",TRUE,"55+")</f>
        <v>45-54</v>
      </c>
      <c r="L643" t="str">
        <f>"Q"&amp;ROUNDUP(MONTH(Table1[[#This Row],[Date]])/3,0)</f>
        <v>Q2</v>
      </c>
    </row>
    <row r="644" spans="1:12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5">
        <v>30</v>
      </c>
      <c r="I644" s="5">
        <v>90</v>
      </c>
      <c r="J644" s="2" t="str">
        <f>TEXT(Table1[[#This Row],[Date]],"mmm")</f>
        <v>Sep</v>
      </c>
      <c r="K644" t="str" cm="1">
        <f t="array" ref="K644">_xlfn.IFS(Table1[[#This Row],[Age]]&lt;25,"18-24",Table1[[#This Row],[Age]]&lt;35,"25-34",Table1[[#This Row],[Age]]&lt;45,"35-44",Table1[[#This Row],[Age]]&lt;55,"45-54",TRUE,"55+")</f>
        <v>25-34</v>
      </c>
      <c r="L644" t="str">
        <f>"Q"&amp;ROUNDUP(MONTH(Table1[[#This Row],[Date]])/3,0)</f>
        <v>Q3</v>
      </c>
    </row>
    <row r="645" spans="1:12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5">
        <v>25</v>
      </c>
      <c r="I645" s="5">
        <v>75</v>
      </c>
      <c r="J645" s="2" t="str">
        <f>TEXT(Table1[[#This Row],[Date]],"mmm")</f>
        <v>Sep</v>
      </c>
      <c r="K645" t="str" cm="1">
        <f t="array" ref="K645">_xlfn.IFS(Table1[[#This Row],[Age]]&lt;25,"18-24",Table1[[#This Row],[Age]]&lt;35,"25-34",Table1[[#This Row],[Age]]&lt;45,"35-44",Table1[[#This Row],[Age]]&lt;55,"45-54",TRUE,"55+")</f>
        <v>18-24</v>
      </c>
      <c r="L645" t="str">
        <f>"Q"&amp;ROUNDUP(MONTH(Table1[[#This Row],[Date]])/3,0)</f>
        <v>Q3</v>
      </c>
    </row>
    <row r="646" spans="1:12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5">
        <v>30</v>
      </c>
      <c r="I646" s="5">
        <v>120</v>
      </c>
      <c r="J646" s="2" t="str">
        <f>TEXT(Table1[[#This Row],[Date]],"mmm")</f>
        <v>Nov</v>
      </c>
      <c r="K646" t="str" cm="1">
        <f t="array" ref="K646">_xlfn.IFS(Table1[[#This Row],[Age]]&lt;25,"18-24",Table1[[#This Row],[Age]]&lt;35,"25-34",Table1[[#This Row],[Age]]&lt;45,"35-44",Table1[[#This Row],[Age]]&lt;55,"45-54",TRUE,"55+")</f>
        <v>35-44</v>
      </c>
      <c r="L646" t="str">
        <f>"Q"&amp;ROUNDUP(MONTH(Table1[[#This Row],[Date]])/3,0)</f>
        <v>Q4</v>
      </c>
    </row>
    <row r="647" spans="1:12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5">
        <v>30</v>
      </c>
      <c r="I647" s="5">
        <v>90</v>
      </c>
      <c r="J647" s="2" t="str">
        <f>TEXT(Table1[[#This Row],[Date]],"mmm")</f>
        <v>May</v>
      </c>
      <c r="K647" t="str" cm="1">
        <f t="array" ref="K647">_xlfn.IFS(Table1[[#This Row],[Age]]&lt;25,"18-24",Table1[[#This Row],[Age]]&lt;35,"25-34",Table1[[#This Row],[Age]]&lt;45,"35-44",Table1[[#This Row],[Age]]&lt;55,"45-54",TRUE,"55+")</f>
        <v>35-44</v>
      </c>
      <c r="L647" t="str">
        <f>"Q"&amp;ROUNDUP(MONTH(Table1[[#This Row],[Date]])/3,0)</f>
        <v>Q2</v>
      </c>
    </row>
    <row r="648" spans="1:12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5">
        <v>500</v>
      </c>
      <c r="I648" s="5">
        <v>1500</v>
      </c>
      <c r="J648" s="2" t="str">
        <f>TEXT(Table1[[#This Row],[Date]],"mmm")</f>
        <v>May</v>
      </c>
      <c r="K648" t="str" cm="1">
        <f t="array" ref="K648">_xlfn.IFS(Table1[[#This Row],[Age]]&lt;25,"18-24",Table1[[#This Row],[Age]]&lt;35,"25-34",Table1[[#This Row],[Age]]&lt;45,"35-44",Table1[[#This Row],[Age]]&lt;55,"45-54",TRUE,"55+")</f>
        <v>55+</v>
      </c>
      <c r="L648" t="str">
        <f>"Q"&amp;ROUNDUP(MONTH(Table1[[#This Row],[Date]])/3,0)</f>
        <v>Q2</v>
      </c>
    </row>
    <row r="649" spans="1:12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5">
        <v>300</v>
      </c>
      <c r="I649" s="5">
        <v>1200</v>
      </c>
      <c r="J649" s="2" t="str">
        <f>TEXT(Table1[[#This Row],[Date]],"mmm")</f>
        <v>Aug</v>
      </c>
      <c r="K649" t="str" cm="1">
        <f t="array" ref="K649">_xlfn.IFS(Table1[[#This Row],[Age]]&lt;25,"18-24",Table1[[#This Row],[Age]]&lt;35,"25-34",Table1[[#This Row],[Age]]&lt;45,"35-44",Table1[[#This Row],[Age]]&lt;55,"45-54",TRUE,"55+")</f>
        <v>45-54</v>
      </c>
      <c r="L649" t="str">
        <f>"Q"&amp;ROUNDUP(MONTH(Table1[[#This Row],[Date]])/3,0)</f>
        <v>Q3</v>
      </c>
    </row>
    <row r="650" spans="1:12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5">
        <v>300</v>
      </c>
      <c r="I650" s="5">
        <v>600</v>
      </c>
      <c r="J650" s="2" t="str">
        <f>TEXT(Table1[[#This Row],[Date]],"mmm")</f>
        <v>Feb</v>
      </c>
      <c r="K650" t="str" cm="1">
        <f t="array" ref="K650">_xlfn.IFS(Table1[[#This Row],[Age]]&lt;25,"18-24",Table1[[#This Row],[Age]]&lt;35,"25-34",Table1[[#This Row],[Age]]&lt;45,"35-44",Table1[[#This Row],[Age]]&lt;55,"45-54",TRUE,"55+")</f>
        <v>55+</v>
      </c>
      <c r="L650" t="str">
        <f>"Q"&amp;ROUNDUP(MONTH(Table1[[#This Row],[Date]])/3,0)</f>
        <v>Q1</v>
      </c>
    </row>
    <row r="651" spans="1:12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5">
        <v>30</v>
      </c>
      <c r="I651" s="5">
        <v>30</v>
      </c>
      <c r="J651" s="2" t="str">
        <f>TEXT(Table1[[#This Row],[Date]],"mmm")</f>
        <v>Jan</v>
      </c>
      <c r="K651" t="str" cm="1">
        <f t="array" ref="K651">_xlfn.IFS(Table1[[#This Row],[Age]]&lt;25,"18-24",Table1[[#This Row],[Age]]&lt;35,"25-34",Table1[[#This Row],[Age]]&lt;45,"35-44",Table1[[#This Row],[Age]]&lt;55,"45-54",TRUE,"55+")</f>
        <v>55+</v>
      </c>
      <c r="L651" t="str">
        <f>"Q"&amp;ROUNDUP(MONTH(Table1[[#This Row],[Date]])/3,0)</f>
        <v>Q1</v>
      </c>
    </row>
    <row r="652" spans="1:12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5">
        <v>50</v>
      </c>
      <c r="I652" s="5">
        <v>150</v>
      </c>
      <c r="J652" s="2" t="str">
        <f>TEXT(Table1[[#This Row],[Date]],"mmm")</f>
        <v>May</v>
      </c>
      <c r="K652" t="str" cm="1">
        <f t="array" ref="K652">_xlfn.IFS(Table1[[#This Row],[Age]]&lt;25,"18-24",Table1[[#This Row],[Age]]&lt;35,"25-34",Table1[[#This Row],[Age]]&lt;45,"35-44",Table1[[#This Row],[Age]]&lt;55,"45-54",TRUE,"55+")</f>
        <v>45-54</v>
      </c>
      <c r="L652" t="str">
        <f>"Q"&amp;ROUNDUP(MONTH(Table1[[#This Row],[Date]])/3,0)</f>
        <v>Q2</v>
      </c>
    </row>
    <row r="653" spans="1:12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5">
        <v>50</v>
      </c>
      <c r="I653" s="5">
        <v>100</v>
      </c>
      <c r="J653" s="2" t="str">
        <f>TEXT(Table1[[#This Row],[Date]],"mmm")</f>
        <v>May</v>
      </c>
      <c r="K653" t="str" cm="1">
        <f t="array" ref="K653">_xlfn.IFS(Table1[[#This Row],[Age]]&lt;25,"18-24",Table1[[#This Row],[Age]]&lt;35,"25-34",Table1[[#This Row],[Age]]&lt;45,"35-44",Table1[[#This Row],[Age]]&lt;55,"45-54",TRUE,"55+")</f>
        <v>25-34</v>
      </c>
      <c r="L653" t="str">
        <f>"Q"&amp;ROUNDUP(MONTH(Table1[[#This Row],[Date]])/3,0)</f>
        <v>Q2</v>
      </c>
    </row>
    <row r="654" spans="1:12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5">
        <v>25</v>
      </c>
      <c r="I654" s="5">
        <v>75</v>
      </c>
      <c r="J654" s="2" t="str">
        <f>TEXT(Table1[[#This Row],[Date]],"mmm")</f>
        <v>May</v>
      </c>
      <c r="K654" t="str" cm="1">
        <f t="array" ref="K654">_xlfn.IFS(Table1[[#This Row],[Age]]&lt;25,"18-24",Table1[[#This Row],[Age]]&lt;35,"25-34",Table1[[#This Row],[Age]]&lt;45,"35-44",Table1[[#This Row],[Age]]&lt;55,"45-54",TRUE,"55+")</f>
        <v>45-54</v>
      </c>
      <c r="L654" t="str">
        <f>"Q"&amp;ROUNDUP(MONTH(Table1[[#This Row],[Date]])/3,0)</f>
        <v>Q2</v>
      </c>
    </row>
    <row r="655" spans="1:12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5">
        <v>25</v>
      </c>
      <c r="I655" s="5">
        <v>75</v>
      </c>
      <c r="J655" s="2" t="str">
        <f>TEXT(Table1[[#This Row],[Date]],"mmm")</f>
        <v>Jun</v>
      </c>
      <c r="K655" t="str" cm="1">
        <f t="array" ref="K655">_xlfn.IFS(Table1[[#This Row],[Age]]&lt;25,"18-24",Table1[[#This Row],[Age]]&lt;35,"25-34",Table1[[#This Row],[Age]]&lt;45,"35-44",Table1[[#This Row],[Age]]&lt;55,"45-54",TRUE,"55+")</f>
        <v>35-44</v>
      </c>
      <c r="L655" t="str">
        <f>"Q"&amp;ROUNDUP(MONTH(Table1[[#This Row],[Date]])/3,0)</f>
        <v>Q2</v>
      </c>
    </row>
    <row r="656" spans="1:12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5">
        <v>500</v>
      </c>
      <c r="I656" s="5">
        <v>500</v>
      </c>
      <c r="J656" s="2" t="str">
        <f>TEXT(Table1[[#This Row],[Date]],"mmm")</f>
        <v>Jun</v>
      </c>
      <c r="K656" t="str" cm="1">
        <f t="array" ref="K656">_xlfn.IFS(Table1[[#This Row],[Age]]&lt;25,"18-24",Table1[[#This Row],[Age]]&lt;35,"25-34",Table1[[#This Row],[Age]]&lt;45,"35-44",Table1[[#This Row],[Age]]&lt;55,"45-54",TRUE,"55+")</f>
        <v>55+</v>
      </c>
      <c r="L656" t="str">
        <f>"Q"&amp;ROUNDUP(MONTH(Table1[[#This Row],[Date]])/3,0)</f>
        <v>Q2</v>
      </c>
    </row>
    <row r="657" spans="1:12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5">
        <v>30</v>
      </c>
      <c r="I657" s="5">
        <v>90</v>
      </c>
      <c r="J657" s="2" t="str">
        <f>TEXT(Table1[[#This Row],[Date]],"mmm")</f>
        <v>Oct</v>
      </c>
      <c r="K657" t="str" cm="1">
        <f t="array" ref="K657">_xlfn.IFS(Table1[[#This Row],[Age]]&lt;25,"18-24",Table1[[#This Row],[Age]]&lt;35,"25-34",Table1[[#This Row],[Age]]&lt;45,"35-44",Table1[[#This Row],[Age]]&lt;55,"45-54",TRUE,"55+")</f>
        <v>25-34</v>
      </c>
      <c r="L657" t="str">
        <f>"Q"&amp;ROUNDUP(MONTH(Table1[[#This Row],[Date]])/3,0)</f>
        <v>Q4</v>
      </c>
    </row>
    <row r="658" spans="1:12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5">
        <v>25</v>
      </c>
      <c r="I658" s="5">
        <v>25</v>
      </c>
      <c r="J658" s="2" t="str">
        <f>TEXT(Table1[[#This Row],[Date]],"mmm")</f>
        <v>Feb</v>
      </c>
      <c r="K658" t="str" cm="1">
        <f t="array" ref="K658">_xlfn.IFS(Table1[[#This Row],[Age]]&lt;25,"18-24",Table1[[#This Row],[Age]]&lt;35,"25-34",Table1[[#This Row],[Age]]&lt;45,"35-44",Table1[[#This Row],[Age]]&lt;55,"45-54",TRUE,"55+")</f>
        <v>35-44</v>
      </c>
      <c r="L658" t="str">
        <f>"Q"&amp;ROUNDUP(MONTH(Table1[[#This Row],[Date]])/3,0)</f>
        <v>Q1</v>
      </c>
    </row>
    <row r="659" spans="1:12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5">
        <v>25</v>
      </c>
      <c r="I659" s="5">
        <v>25</v>
      </c>
      <c r="J659" s="2" t="str">
        <f>TEXT(Table1[[#This Row],[Date]],"mmm")</f>
        <v>Mar</v>
      </c>
      <c r="K659" t="str" cm="1">
        <f t="array" ref="K659">_xlfn.IFS(Table1[[#This Row],[Age]]&lt;25,"18-24",Table1[[#This Row],[Age]]&lt;35,"25-34",Table1[[#This Row],[Age]]&lt;45,"35-44",Table1[[#This Row],[Age]]&lt;55,"45-54",TRUE,"55+")</f>
        <v>55+</v>
      </c>
      <c r="L659" t="str">
        <f>"Q"&amp;ROUNDUP(MONTH(Table1[[#This Row],[Date]])/3,0)</f>
        <v>Q1</v>
      </c>
    </row>
    <row r="660" spans="1:12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5">
        <v>30</v>
      </c>
      <c r="I660" s="5">
        <v>30</v>
      </c>
      <c r="J660" s="2" t="str">
        <f>TEXT(Table1[[#This Row],[Date]],"mmm")</f>
        <v>Mar</v>
      </c>
      <c r="K660" t="str" cm="1">
        <f t="array" ref="K660">_xlfn.IFS(Table1[[#This Row],[Age]]&lt;25,"18-24",Table1[[#This Row],[Age]]&lt;35,"25-34",Table1[[#This Row],[Age]]&lt;45,"35-44",Table1[[#This Row],[Age]]&lt;55,"45-54",TRUE,"55+")</f>
        <v>35-44</v>
      </c>
      <c r="L660" t="str">
        <f>"Q"&amp;ROUNDUP(MONTH(Table1[[#This Row],[Date]])/3,0)</f>
        <v>Q1</v>
      </c>
    </row>
    <row r="661" spans="1:12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5">
        <v>500</v>
      </c>
      <c r="I661" s="5">
        <v>1000</v>
      </c>
      <c r="J661" s="2" t="str">
        <f>TEXT(Table1[[#This Row],[Date]],"mmm")</f>
        <v>Apr</v>
      </c>
      <c r="K661" t="str" cm="1">
        <f t="array" ref="K661">_xlfn.IFS(Table1[[#This Row],[Age]]&lt;25,"18-24",Table1[[#This Row],[Age]]&lt;35,"25-34",Table1[[#This Row],[Age]]&lt;45,"35-44",Table1[[#This Row],[Age]]&lt;55,"45-54",TRUE,"55+")</f>
        <v>35-44</v>
      </c>
      <c r="L661" t="str">
        <f>"Q"&amp;ROUNDUP(MONTH(Table1[[#This Row],[Date]])/3,0)</f>
        <v>Q2</v>
      </c>
    </row>
    <row r="662" spans="1:12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5">
        <v>25</v>
      </c>
      <c r="I662" s="5">
        <v>100</v>
      </c>
      <c r="J662" s="2" t="str">
        <f>TEXT(Table1[[#This Row],[Date]],"mmm")</f>
        <v>Jul</v>
      </c>
      <c r="K662" t="str" cm="1">
        <f t="array" ref="K662">_xlfn.IFS(Table1[[#This Row],[Age]]&lt;25,"18-24",Table1[[#This Row],[Age]]&lt;35,"25-34",Table1[[#This Row],[Age]]&lt;45,"35-44",Table1[[#This Row],[Age]]&lt;55,"45-54",TRUE,"55+")</f>
        <v>35-44</v>
      </c>
      <c r="L662" t="str">
        <f>"Q"&amp;ROUNDUP(MONTH(Table1[[#This Row],[Date]])/3,0)</f>
        <v>Q3</v>
      </c>
    </row>
    <row r="663" spans="1:12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5">
        <v>500</v>
      </c>
      <c r="I663" s="5">
        <v>1000</v>
      </c>
      <c r="J663" s="2" t="str">
        <f>TEXT(Table1[[#This Row],[Date]],"mmm")</f>
        <v>Dec</v>
      </c>
      <c r="K663" t="str" cm="1">
        <f t="array" ref="K663">_xlfn.IFS(Table1[[#This Row],[Age]]&lt;25,"18-24",Table1[[#This Row],[Age]]&lt;35,"25-34",Table1[[#This Row],[Age]]&lt;45,"35-44",Table1[[#This Row],[Age]]&lt;55,"45-54",TRUE,"55+")</f>
        <v>45-54</v>
      </c>
      <c r="L663" t="str">
        <f>"Q"&amp;ROUNDUP(MONTH(Table1[[#This Row],[Date]])/3,0)</f>
        <v>Q4</v>
      </c>
    </row>
    <row r="664" spans="1:12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5">
        <v>300</v>
      </c>
      <c r="I664" s="5">
        <v>1200</v>
      </c>
      <c r="J664" s="2" t="str">
        <f>TEXT(Table1[[#This Row],[Date]],"mmm")</f>
        <v>Mar</v>
      </c>
      <c r="K664" t="str" cm="1">
        <f t="array" ref="K664">_xlfn.IFS(Table1[[#This Row],[Age]]&lt;25,"18-24",Table1[[#This Row],[Age]]&lt;35,"25-34",Table1[[#This Row],[Age]]&lt;45,"35-44",Table1[[#This Row],[Age]]&lt;55,"45-54",TRUE,"55+")</f>
        <v>18-24</v>
      </c>
      <c r="L664" t="str">
        <f>"Q"&amp;ROUNDUP(MONTH(Table1[[#This Row],[Date]])/3,0)</f>
        <v>Q1</v>
      </c>
    </row>
    <row r="665" spans="1:12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5">
        <v>500</v>
      </c>
      <c r="I665" s="5">
        <v>2000</v>
      </c>
      <c r="J665" s="2" t="str">
        <f>TEXT(Table1[[#This Row],[Date]],"mmm")</f>
        <v>Dec</v>
      </c>
      <c r="K665" t="str" cm="1">
        <f t="array" ref="K665">_xlfn.IFS(Table1[[#This Row],[Age]]&lt;25,"18-24",Table1[[#This Row],[Age]]&lt;35,"25-34",Table1[[#This Row],[Age]]&lt;45,"35-44",Table1[[#This Row],[Age]]&lt;55,"45-54",TRUE,"55+")</f>
        <v>35-44</v>
      </c>
      <c r="L665" t="str">
        <f>"Q"&amp;ROUNDUP(MONTH(Table1[[#This Row],[Date]])/3,0)</f>
        <v>Q4</v>
      </c>
    </row>
    <row r="666" spans="1:12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5">
        <v>50</v>
      </c>
      <c r="I666" s="5">
        <v>50</v>
      </c>
      <c r="J666" s="2" t="str">
        <f>TEXT(Table1[[#This Row],[Date]],"mmm")</f>
        <v>Apr</v>
      </c>
      <c r="K666" t="str" cm="1">
        <f t="array" ref="K666">_xlfn.IFS(Table1[[#This Row],[Age]]&lt;25,"18-24",Table1[[#This Row],[Age]]&lt;35,"25-34",Table1[[#This Row],[Age]]&lt;45,"35-44",Table1[[#This Row],[Age]]&lt;55,"45-54",TRUE,"55+")</f>
        <v>55+</v>
      </c>
      <c r="L666" t="str">
        <f>"Q"&amp;ROUNDUP(MONTH(Table1[[#This Row],[Date]])/3,0)</f>
        <v>Q2</v>
      </c>
    </row>
    <row r="667" spans="1:12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5">
        <v>50</v>
      </c>
      <c r="I667" s="5">
        <v>150</v>
      </c>
      <c r="J667" s="2" t="str">
        <f>TEXT(Table1[[#This Row],[Date]],"mmm")</f>
        <v>Feb</v>
      </c>
      <c r="K667" t="str" cm="1">
        <f t="array" ref="K667">_xlfn.IFS(Table1[[#This Row],[Age]]&lt;25,"18-24",Table1[[#This Row],[Age]]&lt;35,"25-34",Table1[[#This Row],[Age]]&lt;45,"35-44",Table1[[#This Row],[Age]]&lt;55,"45-54",TRUE,"55+")</f>
        <v>45-54</v>
      </c>
      <c r="L667" t="str">
        <f>"Q"&amp;ROUNDUP(MONTH(Table1[[#This Row],[Date]])/3,0)</f>
        <v>Q1</v>
      </c>
    </row>
    <row r="668" spans="1:12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5">
        <v>500</v>
      </c>
      <c r="I668" s="5">
        <v>500</v>
      </c>
      <c r="J668" s="2" t="str">
        <f>TEXT(Table1[[#This Row],[Date]],"mmm")</f>
        <v>Aug</v>
      </c>
      <c r="K668" t="str" cm="1">
        <f t="array" ref="K668">_xlfn.IFS(Table1[[#This Row],[Age]]&lt;25,"18-24",Table1[[#This Row],[Age]]&lt;35,"25-34",Table1[[#This Row],[Age]]&lt;45,"35-44",Table1[[#This Row],[Age]]&lt;55,"45-54",TRUE,"55+")</f>
        <v>25-34</v>
      </c>
      <c r="L668" t="str">
        <f>"Q"&amp;ROUNDUP(MONTH(Table1[[#This Row],[Date]])/3,0)</f>
        <v>Q3</v>
      </c>
    </row>
    <row r="669" spans="1:12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5">
        <v>50</v>
      </c>
      <c r="I669" s="5">
        <v>150</v>
      </c>
      <c r="J669" s="2" t="str">
        <f>TEXT(Table1[[#This Row],[Date]],"mmm")</f>
        <v>Jul</v>
      </c>
      <c r="K669" t="str" cm="1">
        <f t="array" ref="K669">_xlfn.IFS(Table1[[#This Row],[Age]]&lt;25,"18-24",Table1[[#This Row],[Age]]&lt;35,"25-34",Table1[[#This Row],[Age]]&lt;45,"35-44",Table1[[#This Row],[Age]]&lt;55,"45-54",TRUE,"55+")</f>
        <v>55+</v>
      </c>
      <c r="L669" t="str">
        <f>"Q"&amp;ROUNDUP(MONTH(Table1[[#This Row],[Date]])/3,0)</f>
        <v>Q3</v>
      </c>
    </row>
    <row r="670" spans="1:12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5">
        <v>300</v>
      </c>
      <c r="I670" s="5">
        <v>1200</v>
      </c>
      <c r="J670" s="2" t="str">
        <f>TEXT(Table1[[#This Row],[Date]],"mmm")</f>
        <v>Jun</v>
      </c>
      <c r="K670" t="str" cm="1">
        <f t="array" ref="K670">_xlfn.IFS(Table1[[#This Row],[Age]]&lt;25,"18-24",Table1[[#This Row],[Age]]&lt;35,"25-34",Table1[[#This Row],[Age]]&lt;45,"35-44",Table1[[#This Row],[Age]]&lt;55,"45-54",TRUE,"55+")</f>
        <v>18-24</v>
      </c>
      <c r="L670" t="str">
        <f>"Q"&amp;ROUNDUP(MONTH(Table1[[#This Row],[Date]])/3,0)</f>
        <v>Q2</v>
      </c>
    </row>
    <row r="671" spans="1:12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5">
        <v>30</v>
      </c>
      <c r="I671" s="5">
        <v>30</v>
      </c>
      <c r="J671" s="2" t="str">
        <f>TEXT(Table1[[#This Row],[Date]],"mmm")</f>
        <v>Oct</v>
      </c>
      <c r="K671" t="str" cm="1">
        <f t="array" ref="K671">_xlfn.IFS(Table1[[#This Row],[Age]]&lt;25,"18-24",Table1[[#This Row],[Age]]&lt;35,"25-34",Table1[[#This Row],[Age]]&lt;45,"35-44",Table1[[#This Row],[Age]]&lt;55,"45-54",TRUE,"55+")</f>
        <v>25-34</v>
      </c>
      <c r="L671" t="str">
        <f>"Q"&amp;ROUNDUP(MONTH(Table1[[#This Row],[Date]])/3,0)</f>
        <v>Q4</v>
      </c>
    </row>
    <row r="672" spans="1:12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5">
        <v>50</v>
      </c>
      <c r="I672" s="5">
        <v>150</v>
      </c>
      <c r="J672" s="2" t="str">
        <f>TEXT(Table1[[#This Row],[Date]],"mmm")</f>
        <v>Aug</v>
      </c>
      <c r="K672" t="str" cm="1">
        <f t="array" ref="K672">_xlfn.IFS(Table1[[#This Row],[Age]]&lt;25,"18-24",Table1[[#This Row],[Age]]&lt;35,"25-34",Table1[[#This Row],[Age]]&lt;45,"35-44",Table1[[#This Row],[Age]]&lt;55,"45-54",TRUE,"55+")</f>
        <v>55+</v>
      </c>
      <c r="L672" t="str">
        <f>"Q"&amp;ROUNDUP(MONTH(Table1[[#This Row],[Date]])/3,0)</f>
        <v>Q3</v>
      </c>
    </row>
    <row r="673" spans="1:12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5">
        <v>50</v>
      </c>
      <c r="I673" s="5">
        <v>100</v>
      </c>
      <c r="J673" s="2" t="str">
        <f>TEXT(Table1[[#This Row],[Date]],"mmm")</f>
        <v>Aug</v>
      </c>
      <c r="K673" t="str" cm="1">
        <f t="array" ref="K673">_xlfn.IFS(Table1[[#This Row],[Age]]&lt;25,"18-24",Table1[[#This Row],[Age]]&lt;35,"25-34",Table1[[#This Row],[Age]]&lt;45,"35-44",Table1[[#This Row],[Age]]&lt;55,"45-54",TRUE,"55+")</f>
        <v>25-34</v>
      </c>
      <c r="L673" t="str">
        <f>"Q"&amp;ROUNDUP(MONTH(Table1[[#This Row],[Date]])/3,0)</f>
        <v>Q3</v>
      </c>
    </row>
    <row r="674" spans="1:12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5">
        <v>500</v>
      </c>
      <c r="I674" s="5">
        <v>1500</v>
      </c>
      <c r="J674" s="2" t="str">
        <f>TEXT(Table1[[#This Row],[Date]],"mmm")</f>
        <v>Feb</v>
      </c>
      <c r="K674" t="str" cm="1">
        <f t="array" ref="K674">_xlfn.IFS(Table1[[#This Row],[Age]]&lt;25,"18-24",Table1[[#This Row],[Age]]&lt;35,"25-34",Table1[[#This Row],[Age]]&lt;45,"35-44",Table1[[#This Row],[Age]]&lt;55,"45-54",TRUE,"55+")</f>
        <v>35-44</v>
      </c>
      <c r="L674" t="str">
        <f>"Q"&amp;ROUNDUP(MONTH(Table1[[#This Row],[Date]])/3,0)</f>
        <v>Q1</v>
      </c>
    </row>
    <row r="675" spans="1:12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5">
        <v>300</v>
      </c>
      <c r="I675" s="5">
        <v>300</v>
      </c>
      <c r="J675" s="2" t="str">
        <f>TEXT(Table1[[#This Row],[Date]],"mmm")</f>
        <v>Apr</v>
      </c>
      <c r="K675" t="str" cm="1">
        <f t="array" ref="K675">_xlfn.IFS(Table1[[#This Row],[Age]]&lt;25,"18-24",Table1[[#This Row],[Age]]&lt;35,"25-34",Table1[[#This Row],[Age]]&lt;45,"35-44",Table1[[#This Row],[Age]]&lt;55,"45-54",TRUE,"55+")</f>
        <v>35-44</v>
      </c>
      <c r="L675" t="str">
        <f>"Q"&amp;ROUNDUP(MONTH(Table1[[#This Row],[Date]])/3,0)</f>
        <v>Q2</v>
      </c>
    </row>
    <row r="676" spans="1:12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5">
        <v>30</v>
      </c>
      <c r="I676" s="5">
        <v>60</v>
      </c>
      <c r="J676" s="2" t="str">
        <f>TEXT(Table1[[#This Row],[Date]],"mmm")</f>
        <v>Aug</v>
      </c>
      <c r="K676" t="str" cm="1">
        <f t="array" ref="K676">_xlfn.IFS(Table1[[#This Row],[Age]]&lt;25,"18-24",Table1[[#This Row],[Age]]&lt;35,"25-34",Table1[[#This Row],[Age]]&lt;45,"35-44",Table1[[#This Row],[Age]]&lt;55,"45-54",TRUE,"55+")</f>
        <v>45-54</v>
      </c>
      <c r="L676" t="str">
        <f>"Q"&amp;ROUNDUP(MONTH(Table1[[#This Row],[Date]])/3,0)</f>
        <v>Q3</v>
      </c>
    </row>
    <row r="677" spans="1:12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5">
        <v>500</v>
      </c>
      <c r="I677" s="5">
        <v>1500</v>
      </c>
      <c r="J677" s="2" t="str">
        <f>TEXT(Table1[[#This Row],[Date]],"mmm")</f>
        <v>Jul</v>
      </c>
      <c r="K677" t="str" cm="1">
        <f t="array" ref="K677">_xlfn.IFS(Table1[[#This Row],[Age]]&lt;25,"18-24",Table1[[#This Row],[Age]]&lt;35,"25-34",Table1[[#This Row],[Age]]&lt;45,"35-44",Table1[[#This Row],[Age]]&lt;55,"45-54",TRUE,"55+")</f>
        <v>55+</v>
      </c>
      <c r="L677" t="str">
        <f>"Q"&amp;ROUNDUP(MONTH(Table1[[#This Row],[Date]])/3,0)</f>
        <v>Q3</v>
      </c>
    </row>
    <row r="678" spans="1:12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5">
        <v>500</v>
      </c>
      <c r="I678" s="5">
        <v>1500</v>
      </c>
      <c r="J678" s="2" t="str">
        <f>TEXT(Table1[[#This Row],[Date]],"mmm")</f>
        <v>Oct</v>
      </c>
      <c r="K678" t="str" cm="1">
        <f t="array" ref="K678">_xlfn.IFS(Table1[[#This Row],[Age]]&lt;25,"18-24",Table1[[#This Row],[Age]]&lt;35,"25-34",Table1[[#This Row],[Age]]&lt;45,"35-44",Table1[[#This Row],[Age]]&lt;55,"45-54",TRUE,"55+")</f>
        <v>18-24</v>
      </c>
      <c r="L678" t="str">
        <f>"Q"&amp;ROUNDUP(MONTH(Table1[[#This Row],[Date]])/3,0)</f>
        <v>Q4</v>
      </c>
    </row>
    <row r="679" spans="1:12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5">
        <v>300</v>
      </c>
      <c r="I679" s="5">
        <v>900</v>
      </c>
      <c r="J679" s="2" t="str">
        <f>TEXT(Table1[[#This Row],[Date]],"mmm")</f>
        <v>Dec</v>
      </c>
      <c r="K679" t="str" cm="1">
        <f t="array" ref="K679">_xlfn.IFS(Table1[[#This Row],[Age]]&lt;25,"18-24",Table1[[#This Row],[Age]]&lt;35,"25-34",Table1[[#This Row],[Age]]&lt;45,"35-44",Table1[[#This Row],[Age]]&lt;55,"45-54",TRUE,"55+")</f>
        <v>55+</v>
      </c>
      <c r="L679" t="str">
        <f>"Q"&amp;ROUNDUP(MONTH(Table1[[#This Row],[Date]])/3,0)</f>
        <v>Q4</v>
      </c>
    </row>
    <row r="680" spans="1:12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5">
        <v>30</v>
      </c>
      <c r="I680" s="5">
        <v>90</v>
      </c>
      <c r="J680" s="2" t="str">
        <f>TEXT(Table1[[#This Row],[Date]],"mmm")</f>
        <v>Jan</v>
      </c>
      <c r="K680" t="str" cm="1">
        <f t="array" ref="K680">_xlfn.IFS(Table1[[#This Row],[Age]]&lt;25,"18-24",Table1[[#This Row],[Age]]&lt;35,"25-34",Table1[[#This Row],[Age]]&lt;45,"35-44",Table1[[#This Row],[Age]]&lt;55,"45-54",TRUE,"55+")</f>
        <v>18-24</v>
      </c>
      <c r="L680" t="str">
        <f>"Q"&amp;ROUNDUP(MONTH(Table1[[#This Row],[Date]])/3,0)</f>
        <v>Q1</v>
      </c>
    </row>
    <row r="681" spans="1:12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5">
        <v>300</v>
      </c>
      <c r="I681" s="5">
        <v>900</v>
      </c>
      <c r="J681" s="2" t="str">
        <f>TEXT(Table1[[#This Row],[Date]],"mmm")</f>
        <v>Oct</v>
      </c>
      <c r="K681" t="str" cm="1">
        <f t="array" ref="K681">_xlfn.IFS(Table1[[#This Row],[Age]]&lt;25,"18-24",Table1[[#This Row],[Age]]&lt;35,"25-34",Table1[[#This Row],[Age]]&lt;45,"35-44",Table1[[#This Row],[Age]]&lt;55,"45-54",TRUE,"55+")</f>
        <v>45-54</v>
      </c>
      <c r="L681" t="str">
        <f>"Q"&amp;ROUNDUP(MONTH(Table1[[#This Row],[Date]])/3,0)</f>
        <v>Q4</v>
      </c>
    </row>
    <row r="682" spans="1:12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5">
        <v>30</v>
      </c>
      <c r="I682" s="5">
        <v>60</v>
      </c>
      <c r="J682" s="2" t="str">
        <f>TEXT(Table1[[#This Row],[Date]],"mmm")</f>
        <v>Jul</v>
      </c>
      <c r="K682" t="str" cm="1">
        <f t="array" ref="K682">_xlfn.IFS(Table1[[#This Row],[Age]]&lt;25,"18-24",Table1[[#This Row],[Age]]&lt;35,"25-34",Table1[[#This Row],[Age]]&lt;45,"35-44",Table1[[#This Row],[Age]]&lt;55,"45-54",TRUE,"55+")</f>
        <v>35-44</v>
      </c>
      <c r="L682" t="str">
        <f>"Q"&amp;ROUNDUP(MONTH(Table1[[#This Row],[Date]])/3,0)</f>
        <v>Q3</v>
      </c>
    </row>
    <row r="683" spans="1:12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5">
        <v>300</v>
      </c>
      <c r="I683" s="5">
        <v>1200</v>
      </c>
      <c r="J683" s="2" t="str">
        <f>TEXT(Table1[[#This Row],[Date]],"mmm")</f>
        <v>Sep</v>
      </c>
      <c r="K683" t="str" cm="1">
        <f t="array" ref="K683">_xlfn.IFS(Table1[[#This Row],[Age]]&lt;25,"18-24",Table1[[#This Row],[Age]]&lt;35,"25-34",Table1[[#This Row],[Age]]&lt;45,"35-44",Table1[[#This Row],[Age]]&lt;55,"45-54",TRUE,"55+")</f>
        <v>45-54</v>
      </c>
      <c r="L683" t="str">
        <f>"Q"&amp;ROUNDUP(MONTH(Table1[[#This Row],[Date]])/3,0)</f>
        <v>Q3</v>
      </c>
    </row>
    <row r="684" spans="1:12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5">
        <v>500</v>
      </c>
      <c r="I684" s="5">
        <v>1000</v>
      </c>
      <c r="J684" s="2" t="str">
        <f>TEXT(Table1[[#This Row],[Date]],"mmm")</f>
        <v>Jan</v>
      </c>
      <c r="K684" t="str" cm="1">
        <f t="array" ref="K684">_xlfn.IFS(Table1[[#This Row],[Age]]&lt;25,"18-24",Table1[[#This Row],[Age]]&lt;35,"25-34",Table1[[#This Row],[Age]]&lt;45,"35-44",Table1[[#This Row],[Age]]&lt;55,"45-54",TRUE,"55+")</f>
        <v>35-44</v>
      </c>
      <c r="L684" t="str">
        <f>"Q"&amp;ROUNDUP(MONTH(Table1[[#This Row],[Date]])/3,0)</f>
        <v>Q1</v>
      </c>
    </row>
    <row r="685" spans="1:12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5">
        <v>500</v>
      </c>
      <c r="I685" s="5">
        <v>1000</v>
      </c>
      <c r="J685" s="2" t="str">
        <f>TEXT(Table1[[#This Row],[Date]],"mmm")</f>
        <v>Jun</v>
      </c>
      <c r="K685" t="str" cm="1">
        <f t="array" ref="K685">_xlfn.IFS(Table1[[#This Row],[Age]]&lt;25,"18-24",Table1[[#This Row],[Age]]&lt;35,"25-34",Table1[[#This Row],[Age]]&lt;45,"35-44",Table1[[#This Row],[Age]]&lt;55,"45-54",TRUE,"55+")</f>
        <v>25-34</v>
      </c>
      <c r="L685" t="str">
        <f>"Q"&amp;ROUNDUP(MONTH(Table1[[#This Row],[Date]])/3,0)</f>
        <v>Q2</v>
      </c>
    </row>
    <row r="686" spans="1:12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5">
        <v>25</v>
      </c>
      <c r="I686" s="5">
        <v>50</v>
      </c>
      <c r="J686" s="2" t="str">
        <f>TEXT(Table1[[#This Row],[Date]],"mmm")</f>
        <v>Jun</v>
      </c>
      <c r="K686" t="str" cm="1">
        <f t="array" ref="K686">_xlfn.IFS(Table1[[#This Row],[Age]]&lt;25,"18-24",Table1[[#This Row],[Age]]&lt;35,"25-34",Table1[[#This Row],[Age]]&lt;45,"35-44",Table1[[#This Row],[Age]]&lt;55,"45-54",TRUE,"55+")</f>
        <v>55+</v>
      </c>
      <c r="L686" t="str">
        <f>"Q"&amp;ROUNDUP(MONTH(Table1[[#This Row],[Date]])/3,0)</f>
        <v>Q2</v>
      </c>
    </row>
    <row r="687" spans="1:12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5">
        <v>50</v>
      </c>
      <c r="I687" s="5">
        <v>200</v>
      </c>
      <c r="J687" s="2" t="str">
        <f>TEXT(Table1[[#This Row],[Date]],"mmm")</f>
        <v>Jul</v>
      </c>
      <c r="K687" t="str" cm="1">
        <f t="array" ref="K687">_xlfn.IFS(Table1[[#This Row],[Age]]&lt;25,"18-24",Table1[[#This Row],[Age]]&lt;35,"25-34",Table1[[#This Row],[Age]]&lt;45,"35-44",Table1[[#This Row],[Age]]&lt;55,"45-54",TRUE,"55+")</f>
        <v>25-34</v>
      </c>
      <c r="L687" t="str">
        <f>"Q"&amp;ROUNDUP(MONTH(Table1[[#This Row],[Date]])/3,0)</f>
        <v>Q3</v>
      </c>
    </row>
    <row r="688" spans="1:12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5">
        <v>300</v>
      </c>
      <c r="I688" s="5">
        <v>300</v>
      </c>
      <c r="J688" s="2" t="str">
        <f>TEXT(Table1[[#This Row],[Date]],"mmm")</f>
        <v>Aug</v>
      </c>
      <c r="K688" t="str" cm="1">
        <f t="array" ref="K688">_xlfn.IFS(Table1[[#This Row],[Age]]&lt;25,"18-24",Table1[[#This Row],[Age]]&lt;35,"25-34",Table1[[#This Row],[Age]]&lt;45,"35-44",Table1[[#This Row],[Age]]&lt;55,"45-54",TRUE,"55+")</f>
        <v>45-54</v>
      </c>
      <c r="L688" t="str">
        <f>"Q"&amp;ROUNDUP(MONTH(Table1[[#This Row],[Date]])/3,0)</f>
        <v>Q3</v>
      </c>
    </row>
    <row r="689" spans="1:12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5">
        <v>25</v>
      </c>
      <c r="I689" s="5">
        <v>100</v>
      </c>
      <c r="J689" s="2" t="str">
        <f>TEXT(Table1[[#This Row],[Date]],"mmm")</f>
        <v>Oct</v>
      </c>
      <c r="K689" t="str" cm="1">
        <f t="array" ref="K689">_xlfn.IFS(Table1[[#This Row],[Age]]&lt;25,"18-24",Table1[[#This Row],[Age]]&lt;35,"25-34",Table1[[#This Row],[Age]]&lt;45,"35-44",Table1[[#This Row],[Age]]&lt;55,"45-54",TRUE,"55+")</f>
        <v>55+</v>
      </c>
      <c r="L689" t="str">
        <f>"Q"&amp;ROUNDUP(MONTH(Table1[[#This Row],[Date]])/3,0)</f>
        <v>Q4</v>
      </c>
    </row>
    <row r="690" spans="1:12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5">
        <v>50</v>
      </c>
      <c r="I690" s="5">
        <v>100</v>
      </c>
      <c r="J690" s="2" t="str">
        <f>TEXT(Table1[[#This Row],[Date]],"mmm")</f>
        <v>Oct</v>
      </c>
      <c r="K690" t="str" cm="1">
        <f t="array" ref="K690">_xlfn.IFS(Table1[[#This Row],[Age]]&lt;25,"18-24",Table1[[#This Row],[Age]]&lt;35,"25-34",Table1[[#This Row],[Age]]&lt;45,"35-44",Table1[[#This Row],[Age]]&lt;55,"45-54",TRUE,"55+")</f>
        <v>55+</v>
      </c>
      <c r="L690" t="str">
        <f>"Q"&amp;ROUNDUP(MONTH(Table1[[#This Row],[Date]])/3,0)</f>
        <v>Q4</v>
      </c>
    </row>
    <row r="691" spans="1:12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5">
        <v>300</v>
      </c>
      <c r="I691" s="5">
        <v>900</v>
      </c>
      <c r="J691" s="2" t="str">
        <f>TEXT(Table1[[#This Row],[Date]],"mmm")</f>
        <v>Nov</v>
      </c>
      <c r="K691" t="str" cm="1">
        <f t="array" ref="K691">_xlfn.IFS(Table1[[#This Row],[Age]]&lt;25,"18-24",Table1[[#This Row],[Age]]&lt;35,"25-34",Table1[[#This Row],[Age]]&lt;45,"35-44",Table1[[#This Row],[Age]]&lt;55,"45-54",TRUE,"55+")</f>
        <v>45-54</v>
      </c>
      <c r="L691" t="str">
        <f>"Q"&amp;ROUNDUP(MONTH(Table1[[#This Row],[Date]])/3,0)</f>
        <v>Q4</v>
      </c>
    </row>
    <row r="692" spans="1:12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5">
        <v>30</v>
      </c>
      <c r="I692" s="5">
        <v>90</v>
      </c>
      <c r="J692" s="2" t="str">
        <f>TEXT(Table1[[#This Row],[Date]],"mmm")</f>
        <v>Apr</v>
      </c>
      <c r="K692" t="str" cm="1">
        <f t="array" ref="K692">_xlfn.IFS(Table1[[#This Row],[Age]]&lt;25,"18-24",Table1[[#This Row],[Age]]&lt;35,"25-34",Table1[[#This Row],[Age]]&lt;45,"35-44",Table1[[#This Row],[Age]]&lt;55,"45-54",TRUE,"55+")</f>
        <v>45-54</v>
      </c>
      <c r="L692" t="str">
        <f>"Q"&amp;ROUNDUP(MONTH(Table1[[#This Row],[Date]])/3,0)</f>
        <v>Q2</v>
      </c>
    </row>
    <row r="693" spans="1:12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5">
        <v>50</v>
      </c>
      <c r="I693" s="5">
        <v>100</v>
      </c>
      <c r="J693" s="2" t="str">
        <f>TEXT(Table1[[#This Row],[Date]],"mmm")</f>
        <v>Sep</v>
      </c>
      <c r="K693" t="str" cm="1">
        <f t="array" ref="K693">_xlfn.IFS(Table1[[#This Row],[Age]]&lt;25,"18-24",Table1[[#This Row],[Age]]&lt;35,"25-34",Table1[[#This Row],[Age]]&lt;45,"35-44",Table1[[#This Row],[Age]]&lt;55,"45-54",TRUE,"55+")</f>
        <v>55+</v>
      </c>
      <c r="L693" t="str">
        <f>"Q"&amp;ROUNDUP(MONTH(Table1[[#This Row],[Date]])/3,0)</f>
        <v>Q3</v>
      </c>
    </row>
    <row r="694" spans="1:12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5">
        <v>500</v>
      </c>
      <c r="I694" s="5">
        <v>1500</v>
      </c>
      <c r="J694" s="2" t="str">
        <f>TEXT(Table1[[#This Row],[Date]],"mmm")</f>
        <v>Apr</v>
      </c>
      <c r="K694" t="str" cm="1">
        <f t="array" ref="K694">_xlfn.IFS(Table1[[#This Row],[Age]]&lt;25,"18-24",Table1[[#This Row],[Age]]&lt;35,"25-34",Table1[[#This Row],[Age]]&lt;45,"35-44",Table1[[#This Row],[Age]]&lt;55,"45-54",TRUE,"55+")</f>
        <v>35-44</v>
      </c>
      <c r="L694" t="str">
        <f>"Q"&amp;ROUNDUP(MONTH(Table1[[#This Row],[Date]])/3,0)</f>
        <v>Q2</v>
      </c>
    </row>
    <row r="695" spans="1:12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5">
        <v>25</v>
      </c>
      <c r="I695" s="5">
        <v>50</v>
      </c>
      <c r="J695" s="2" t="str">
        <f>TEXT(Table1[[#This Row],[Date]],"mmm")</f>
        <v>May</v>
      </c>
      <c r="K695" t="str" cm="1">
        <f t="array" ref="K695">_xlfn.IFS(Table1[[#This Row],[Age]]&lt;25,"18-24",Table1[[#This Row],[Age]]&lt;35,"25-34",Table1[[#This Row],[Age]]&lt;45,"35-44",Table1[[#This Row],[Age]]&lt;55,"45-54",TRUE,"55+")</f>
        <v>35-44</v>
      </c>
      <c r="L695" t="str">
        <f>"Q"&amp;ROUNDUP(MONTH(Table1[[#This Row],[Date]])/3,0)</f>
        <v>Q2</v>
      </c>
    </row>
    <row r="696" spans="1:12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5">
        <v>50</v>
      </c>
      <c r="I696" s="5">
        <v>150</v>
      </c>
      <c r="J696" s="2" t="str">
        <f>TEXT(Table1[[#This Row],[Date]],"mmm")</f>
        <v>Aug</v>
      </c>
      <c r="K696" t="str" cm="1">
        <f t="array" ref="K696">_xlfn.IFS(Table1[[#This Row],[Age]]&lt;25,"18-24",Table1[[#This Row],[Age]]&lt;35,"25-34",Table1[[#This Row],[Age]]&lt;45,"35-44",Table1[[#This Row],[Age]]&lt;55,"45-54",TRUE,"55+")</f>
        <v>18-24</v>
      </c>
      <c r="L696" t="str">
        <f>"Q"&amp;ROUNDUP(MONTH(Table1[[#This Row],[Date]])/3,0)</f>
        <v>Q3</v>
      </c>
    </row>
    <row r="697" spans="1:12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5">
        <v>50</v>
      </c>
      <c r="I697" s="5">
        <v>200</v>
      </c>
      <c r="J697" s="2" t="str">
        <f>TEXT(Table1[[#This Row],[Date]],"mmm")</f>
        <v>Sep</v>
      </c>
      <c r="K697" t="str" cm="1">
        <f t="array" ref="K697">_xlfn.IFS(Table1[[#This Row],[Age]]&lt;25,"18-24",Table1[[#This Row],[Age]]&lt;35,"25-34",Table1[[#This Row],[Age]]&lt;45,"35-44",Table1[[#This Row],[Age]]&lt;55,"45-54",TRUE,"55+")</f>
        <v>45-54</v>
      </c>
      <c r="L697" t="str">
        <f>"Q"&amp;ROUNDUP(MONTH(Table1[[#This Row],[Date]])/3,0)</f>
        <v>Q3</v>
      </c>
    </row>
    <row r="698" spans="1:12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5">
        <v>500</v>
      </c>
      <c r="I698" s="5">
        <v>500</v>
      </c>
      <c r="J698" s="2" t="str">
        <f>TEXT(Table1[[#This Row],[Date]],"mmm")</f>
        <v>Jan</v>
      </c>
      <c r="K698" t="str" cm="1">
        <f t="array" ref="K698">_xlfn.IFS(Table1[[#This Row],[Age]]&lt;25,"18-24",Table1[[#This Row],[Age]]&lt;35,"25-34",Table1[[#This Row],[Age]]&lt;45,"35-44",Table1[[#This Row],[Age]]&lt;55,"45-54",TRUE,"55+")</f>
        <v>45-54</v>
      </c>
      <c r="L698" t="str">
        <f>"Q"&amp;ROUNDUP(MONTH(Table1[[#This Row],[Date]])/3,0)</f>
        <v>Q1</v>
      </c>
    </row>
    <row r="699" spans="1:12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5">
        <v>300</v>
      </c>
      <c r="I699" s="5">
        <v>300</v>
      </c>
      <c r="J699" s="2" t="str">
        <f>TEXT(Table1[[#This Row],[Date]],"mmm")</f>
        <v>Jul</v>
      </c>
      <c r="K699" t="str" cm="1">
        <f t="array" ref="K699">_xlfn.IFS(Table1[[#This Row],[Age]]&lt;25,"18-24",Table1[[#This Row],[Age]]&lt;35,"25-34",Table1[[#This Row],[Age]]&lt;45,"35-44",Table1[[#This Row],[Age]]&lt;55,"45-54",TRUE,"55+")</f>
        <v>55+</v>
      </c>
      <c r="L699" t="str">
        <f>"Q"&amp;ROUNDUP(MONTH(Table1[[#This Row],[Date]])/3,0)</f>
        <v>Q3</v>
      </c>
    </row>
    <row r="700" spans="1:12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5">
        <v>30</v>
      </c>
      <c r="I700" s="5">
        <v>120</v>
      </c>
      <c r="J700" s="2" t="str">
        <f>TEXT(Table1[[#This Row],[Date]],"mmm")</f>
        <v>Jun</v>
      </c>
      <c r="K700" t="str" cm="1">
        <f t="array" ref="K700">_xlfn.IFS(Table1[[#This Row],[Age]]&lt;25,"18-24",Table1[[#This Row],[Age]]&lt;35,"25-34",Table1[[#This Row],[Age]]&lt;45,"35-44",Table1[[#This Row],[Age]]&lt;55,"45-54",TRUE,"55+")</f>
        <v>35-44</v>
      </c>
      <c r="L700" t="str">
        <f>"Q"&amp;ROUNDUP(MONTH(Table1[[#This Row],[Date]])/3,0)</f>
        <v>Q2</v>
      </c>
    </row>
    <row r="701" spans="1:12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5">
        <v>500</v>
      </c>
      <c r="I701" s="5">
        <v>2000</v>
      </c>
      <c r="J701" s="2" t="str">
        <f>TEXT(Table1[[#This Row],[Date]],"mmm")</f>
        <v>Dec</v>
      </c>
      <c r="K701" t="str" cm="1">
        <f t="array" ref="K701">_xlfn.IFS(Table1[[#This Row],[Age]]&lt;25,"18-24",Table1[[#This Row],[Age]]&lt;35,"25-34",Table1[[#This Row],[Age]]&lt;45,"35-44",Table1[[#This Row],[Age]]&lt;55,"45-54",TRUE,"55+")</f>
        <v>35-44</v>
      </c>
      <c r="L701" t="str">
        <f>"Q"&amp;ROUNDUP(MONTH(Table1[[#This Row],[Date]])/3,0)</f>
        <v>Q4</v>
      </c>
    </row>
    <row r="702" spans="1:12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5">
        <v>30</v>
      </c>
      <c r="I702" s="5">
        <v>60</v>
      </c>
      <c r="J702" s="2" t="str">
        <f>TEXT(Table1[[#This Row],[Date]],"mmm")</f>
        <v>Dec</v>
      </c>
      <c r="K702" t="str" cm="1">
        <f t="array" ref="K702">_xlfn.IFS(Table1[[#This Row],[Age]]&lt;25,"18-24",Table1[[#This Row],[Age]]&lt;35,"25-34",Table1[[#This Row],[Age]]&lt;45,"35-44",Table1[[#This Row],[Age]]&lt;55,"45-54",TRUE,"55+")</f>
        <v>45-54</v>
      </c>
      <c r="L702" t="str">
        <f>"Q"&amp;ROUNDUP(MONTH(Table1[[#This Row],[Date]])/3,0)</f>
        <v>Q4</v>
      </c>
    </row>
    <row r="703" spans="1:12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5">
        <v>300</v>
      </c>
      <c r="I703" s="5">
        <v>600</v>
      </c>
      <c r="J703" s="2" t="str">
        <f>TEXT(Table1[[#This Row],[Date]],"mmm")</f>
        <v>Jul</v>
      </c>
      <c r="K703" t="str" cm="1">
        <f t="array" ref="K703">_xlfn.IFS(Table1[[#This Row],[Age]]&lt;25,"18-24",Table1[[#This Row],[Age]]&lt;35,"25-34",Table1[[#This Row],[Age]]&lt;45,"35-44",Table1[[#This Row],[Age]]&lt;55,"45-54",TRUE,"55+")</f>
        <v>55+</v>
      </c>
      <c r="L703" t="str">
        <f>"Q"&amp;ROUNDUP(MONTH(Table1[[#This Row],[Date]])/3,0)</f>
        <v>Q3</v>
      </c>
    </row>
    <row r="704" spans="1:12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5">
        <v>50</v>
      </c>
      <c r="I704" s="5">
        <v>100</v>
      </c>
      <c r="J704" s="2" t="str">
        <f>TEXT(Table1[[#This Row],[Date]],"mmm")</f>
        <v>Mar</v>
      </c>
      <c r="K704" t="str" cm="1">
        <f t="array" ref="K704">_xlfn.IFS(Table1[[#This Row],[Age]]&lt;25,"18-24",Table1[[#This Row],[Age]]&lt;35,"25-34",Table1[[#This Row],[Age]]&lt;45,"35-44",Table1[[#This Row],[Age]]&lt;55,"45-54",TRUE,"55+")</f>
        <v>25-34</v>
      </c>
      <c r="L704" t="str">
        <f>"Q"&amp;ROUNDUP(MONTH(Table1[[#This Row],[Date]])/3,0)</f>
        <v>Q1</v>
      </c>
    </row>
    <row r="705" spans="1:12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5">
        <v>30</v>
      </c>
      <c r="I705" s="5">
        <v>90</v>
      </c>
      <c r="J705" s="2" t="str">
        <f>TEXT(Table1[[#This Row],[Date]],"mmm")</f>
        <v>Aug</v>
      </c>
      <c r="K705" t="str" cm="1">
        <f t="array" ref="K705">_xlfn.IFS(Table1[[#This Row],[Age]]&lt;25,"18-24",Table1[[#This Row],[Age]]&lt;35,"25-34",Table1[[#This Row],[Age]]&lt;45,"35-44",Table1[[#This Row],[Age]]&lt;55,"45-54",TRUE,"55+")</f>
        <v>55+</v>
      </c>
      <c r="L705" t="str">
        <f>"Q"&amp;ROUNDUP(MONTH(Table1[[#This Row],[Date]])/3,0)</f>
        <v>Q3</v>
      </c>
    </row>
    <row r="706" spans="1:12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5">
        <v>25</v>
      </c>
      <c r="I706" s="5">
        <v>50</v>
      </c>
      <c r="J706" s="2" t="str">
        <f>TEXT(Table1[[#This Row],[Date]],"mmm")</f>
        <v>Mar</v>
      </c>
      <c r="K706" t="str" cm="1">
        <f t="array" ref="K706">_xlfn.IFS(Table1[[#This Row],[Age]]&lt;25,"18-24",Table1[[#This Row],[Age]]&lt;35,"25-34",Table1[[#This Row],[Age]]&lt;45,"35-44",Table1[[#This Row],[Age]]&lt;55,"45-54",TRUE,"55+")</f>
        <v>55+</v>
      </c>
      <c r="L706" t="str">
        <f>"Q"&amp;ROUNDUP(MONTH(Table1[[#This Row],[Date]])/3,0)</f>
        <v>Q1</v>
      </c>
    </row>
    <row r="707" spans="1:12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5">
        <v>25</v>
      </c>
      <c r="I707" s="5">
        <v>100</v>
      </c>
      <c r="J707" s="2" t="str">
        <f>TEXT(Table1[[#This Row],[Date]],"mmm")</f>
        <v>Nov</v>
      </c>
      <c r="K707" t="str" cm="1">
        <f t="array" ref="K707">_xlfn.IFS(Table1[[#This Row],[Age]]&lt;25,"18-24",Table1[[#This Row],[Age]]&lt;35,"25-34",Table1[[#This Row],[Age]]&lt;45,"35-44",Table1[[#This Row],[Age]]&lt;55,"45-54",TRUE,"55+")</f>
        <v>45-54</v>
      </c>
      <c r="L707" t="str">
        <f>"Q"&amp;ROUNDUP(MONTH(Table1[[#This Row],[Date]])/3,0)</f>
        <v>Q4</v>
      </c>
    </row>
    <row r="708" spans="1:12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5">
        <v>500</v>
      </c>
      <c r="I708" s="5">
        <v>500</v>
      </c>
      <c r="J708" s="2" t="str">
        <f>TEXT(Table1[[#This Row],[Date]],"mmm")</f>
        <v>Oct</v>
      </c>
      <c r="K708" t="str" cm="1">
        <f t="array" ref="K708">_xlfn.IFS(Table1[[#This Row],[Age]]&lt;25,"18-24",Table1[[#This Row],[Age]]&lt;35,"25-34",Table1[[#This Row],[Age]]&lt;45,"35-44",Table1[[#This Row],[Age]]&lt;55,"45-54",TRUE,"55+")</f>
        <v>25-34</v>
      </c>
      <c r="L708" t="str">
        <f>"Q"&amp;ROUNDUP(MONTH(Table1[[#This Row],[Date]])/3,0)</f>
        <v>Q4</v>
      </c>
    </row>
    <row r="709" spans="1:12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5">
        <v>300</v>
      </c>
      <c r="I709" s="5">
        <v>900</v>
      </c>
      <c r="J709" s="2" t="str">
        <f>TEXT(Table1[[#This Row],[Date]],"mmm")</f>
        <v>Jan</v>
      </c>
      <c r="K709" t="str" cm="1">
        <f t="array" ref="K709">_xlfn.IFS(Table1[[#This Row],[Age]]&lt;25,"18-24",Table1[[#This Row],[Age]]&lt;35,"25-34",Table1[[#This Row],[Age]]&lt;45,"35-44",Table1[[#This Row],[Age]]&lt;55,"45-54",TRUE,"55+")</f>
        <v>35-44</v>
      </c>
      <c r="L709" t="str">
        <f>"Q"&amp;ROUNDUP(MONTH(Table1[[#This Row],[Date]])/3,0)</f>
        <v>Q1</v>
      </c>
    </row>
    <row r="710" spans="1:12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5">
        <v>500</v>
      </c>
      <c r="I710" s="5">
        <v>1000</v>
      </c>
      <c r="J710" s="2" t="str">
        <f>TEXT(Table1[[#This Row],[Date]],"mmm")</f>
        <v>Jul</v>
      </c>
      <c r="K710" t="str" cm="1">
        <f t="array" ref="K710">_xlfn.IFS(Table1[[#This Row],[Age]]&lt;25,"18-24",Table1[[#This Row],[Age]]&lt;35,"25-34",Table1[[#This Row],[Age]]&lt;45,"35-44",Table1[[#This Row],[Age]]&lt;55,"45-54",TRUE,"55+")</f>
        <v>18-24</v>
      </c>
      <c r="L710" t="str">
        <f>"Q"&amp;ROUNDUP(MONTH(Table1[[#This Row],[Date]])/3,0)</f>
        <v>Q3</v>
      </c>
    </row>
    <row r="711" spans="1:12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5">
        <v>500</v>
      </c>
      <c r="I711" s="5">
        <v>1500</v>
      </c>
      <c r="J711" s="2" t="str">
        <f>TEXT(Table1[[#This Row],[Date]],"mmm")</f>
        <v>Oct</v>
      </c>
      <c r="K711" t="str" cm="1">
        <f t="array" ref="K711">_xlfn.IFS(Table1[[#This Row],[Age]]&lt;25,"18-24",Table1[[#This Row],[Age]]&lt;35,"25-34",Table1[[#This Row],[Age]]&lt;45,"35-44",Table1[[#This Row],[Age]]&lt;55,"45-54",TRUE,"55+")</f>
        <v>25-34</v>
      </c>
      <c r="L711" t="str">
        <f>"Q"&amp;ROUNDUP(MONTH(Table1[[#This Row],[Date]])/3,0)</f>
        <v>Q4</v>
      </c>
    </row>
    <row r="712" spans="1:12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5">
        <v>500</v>
      </c>
      <c r="I712" s="5">
        <v>1500</v>
      </c>
      <c r="J712" s="2" t="str">
        <f>TEXT(Table1[[#This Row],[Date]],"mmm")</f>
        <v>Oct</v>
      </c>
      <c r="K712" t="str" cm="1">
        <f t="array" ref="K712">_xlfn.IFS(Table1[[#This Row],[Age]]&lt;25,"18-24",Table1[[#This Row],[Age]]&lt;35,"25-34",Table1[[#This Row],[Age]]&lt;45,"35-44",Table1[[#This Row],[Age]]&lt;55,"45-54",TRUE,"55+")</f>
        <v>25-34</v>
      </c>
      <c r="L712" t="str">
        <f>"Q"&amp;ROUNDUP(MONTH(Table1[[#This Row],[Date]])/3,0)</f>
        <v>Q4</v>
      </c>
    </row>
    <row r="713" spans="1:12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5">
        <v>25</v>
      </c>
      <c r="I713" s="5">
        <v>50</v>
      </c>
      <c r="J713" s="2" t="str">
        <f>TEXT(Table1[[#This Row],[Date]],"mmm")</f>
        <v>Dec</v>
      </c>
      <c r="K713" t="str" cm="1">
        <f t="array" ref="K713">_xlfn.IFS(Table1[[#This Row],[Age]]&lt;25,"18-24",Table1[[#This Row],[Age]]&lt;35,"25-34",Table1[[#This Row],[Age]]&lt;45,"35-44",Table1[[#This Row],[Age]]&lt;55,"45-54",TRUE,"55+")</f>
        <v>55+</v>
      </c>
      <c r="L713" t="str">
        <f>"Q"&amp;ROUNDUP(MONTH(Table1[[#This Row],[Date]])/3,0)</f>
        <v>Q4</v>
      </c>
    </row>
    <row r="714" spans="1:12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5">
        <v>25</v>
      </c>
      <c r="I714" s="5">
        <v>75</v>
      </c>
      <c r="J714" s="2" t="str">
        <f>TEXT(Table1[[#This Row],[Date]],"mmm")</f>
        <v>Jan</v>
      </c>
      <c r="K714" t="str" cm="1">
        <f t="array" ref="K714">_xlfn.IFS(Table1[[#This Row],[Age]]&lt;25,"18-24",Table1[[#This Row],[Age]]&lt;35,"25-34",Table1[[#This Row],[Age]]&lt;45,"35-44",Table1[[#This Row],[Age]]&lt;55,"45-54",TRUE,"55+")</f>
        <v>25-34</v>
      </c>
      <c r="L714" t="str">
        <f>"Q"&amp;ROUNDUP(MONTH(Table1[[#This Row],[Date]])/3,0)</f>
        <v>Q1</v>
      </c>
    </row>
    <row r="715" spans="1:12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5">
        <v>500</v>
      </c>
      <c r="I715" s="5">
        <v>500</v>
      </c>
      <c r="J715" s="2" t="str">
        <f>TEXT(Table1[[#This Row],[Date]],"mmm")</f>
        <v>Feb</v>
      </c>
      <c r="K715" t="str" cm="1">
        <f t="array" ref="K715">_xlfn.IFS(Table1[[#This Row],[Age]]&lt;25,"18-24",Table1[[#This Row],[Age]]&lt;35,"25-34",Table1[[#This Row],[Age]]&lt;45,"35-44",Table1[[#This Row],[Age]]&lt;55,"45-54",TRUE,"55+")</f>
        <v>18-24</v>
      </c>
      <c r="L715" t="str">
        <f>"Q"&amp;ROUNDUP(MONTH(Table1[[#This Row],[Date]])/3,0)</f>
        <v>Q1</v>
      </c>
    </row>
    <row r="716" spans="1:12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5">
        <v>25</v>
      </c>
      <c r="I716" s="5">
        <v>100</v>
      </c>
      <c r="J716" s="2" t="str">
        <f>TEXT(Table1[[#This Row],[Date]],"mmm")</f>
        <v>Nov</v>
      </c>
      <c r="K716" t="str" cm="1">
        <f t="array" ref="K716">_xlfn.IFS(Table1[[#This Row],[Age]]&lt;25,"18-24",Table1[[#This Row],[Age]]&lt;35,"25-34",Table1[[#This Row],[Age]]&lt;45,"35-44",Table1[[#This Row],[Age]]&lt;55,"45-54",TRUE,"55+")</f>
        <v>35-44</v>
      </c>
      <c r="L716" t="str">
        <f>"Q"&amp;ROUNDUP(MONTH(Table1[[#This Row],[Date]])/3,0)</f>
        <v>Q4</v>
      </c>
    </row>
    <row r="717" spans="1:12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5">
        <v>300</v>
      </c>
      <c r="I717" s="5">
        <v>1200</v>
      </c>
      <c r="J717" s="2" t="str">
        <f>TEXT(Table1[[#This Row],[Date]],"mmm")</f>
        <v>Aug</v>
      </c>
      <c r="K717" t="str" cm="1">
        <f t="array" ref="K717">_xlfn.IFS(Table1[[#This Row],[Age]]&lt;25,"18-24",Table1[[#This Row],[Age]]&lt;35,"25-34",Table1[[#This Row],[Age]]&lt;45,"35-44",Table1[[#This Row],[Age]]&lt;55,"45-54",TRUE,"55+")</f>
        <v>55+</v>
      </c>
      <c r="L717" t="str">
        <f>"Q"&amp;ROUNDUP(MONTH(Table1[[#This Row],[Date]])/3,0)</f>
        <v>Q3</v>
      </c>
    </row>
    <row r="718" spans="1:12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5">
        <v>500</v>
      </c>
      <c r="I718" s="5">
        <v>500</v>
      </c>
      <c r="J718" s="2" t="str">
        <f>TEXT(Table1[[#This Row],[Date]],"mmm")</f>
        <v>Mar</v>
      </c>
      <c r="K718" t="str" cm="1">
        <f t="array" ref="K718">_xlfn.IFS(Table1[[#This Row],[Age]]&lt;25,"18-24",Table1[[#This Row],[Age]]&lt;35,"25-34",Table1[[#This Row],[Age]]&lt;45,"35-44",Table1[[#This Row],[Age]]&lt;55,"45-54",TRUE,"55+")</f>
        <v>55+</v>
      </c>
      <c r="L718" t="str">
        <f>"Q"&amp;ROUNDUP(MONTH(Table1[[#This Row],[Date]])/3,0)</f>
        <v>Q1</v>
      </c>
    </row>
    <row r="719" spans="1:12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5">
        <v>25</v>
      </c>
      <c r="I719" s="5">
        <v>75</v>
      </c>
      <c r="J719" s="2" t="str">
        <f>TEXT(Table1[[#This Row],[Date]],"mmm")</f>
        <v>Aug</v>
      </c>
      <c r="K719" t="str" cm="1">
        <f t="array" ref="K719">_xlfn.IFS(Table1[[#This Row],[Age]]&lt;25,"18-24",Table1[[#This Row],[Age]]&lt;35,"25-34",Table1[[#This Row],[Age]]&lt;45,"35-44",Table1[[#This Row],[Age]]&lt;55,"45-54",TRUE,"55+")</f>
        <v>55+</v>
      </c>
      <c r="L719" t="str">
        <f>"Q"&amp;ROUNDUP(MONTH(Table1[[#This Row],[Date]])/3,0)</f>
        <v>Q3</v>
      </c>
    </row>
    <row r="720" spans="1:12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5">
        <v>30</v>
      </c>
      <c r="I720" s="5">
        <v>60</v>
      </c>
      <c r="J720" s="2" t="str">
        <f>TEXT(Table1[[#This Row],[Date]],"mmm")</f>
        <v>Apr</v>
      </c>
      <c r="K720" t="str" cm="1">
        <f t="array" ref="K720">_xlfn.IFS(Table1[[#This Row],[Age]]&lt;25,"18-24",Table1[[#This Row],[Age]]&lt;35,"25-34",Table1[[#This Row],[Age]]&lt;45,"35-44",Table1[[#This Row],[Age]]&lt;55,"45-54",TRUE,"55+")</f>
        <v>35-44</v>
      </c>
      <c r="L720" t="str">
        <f>"Q"&amp;ROUNDUP(MONTH(Table1[[#This Row],[Date]])/3,0)</f>
        <v>Q2</v>
      </c>
    </row>
    <row r="721" spans="1:12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5">
        <v>500</v>
      </c>
      <c r="I721" s="5">
        <v>1500</v>
      </c>
      <c r="J721" s="2" t="str">
        <f>TEXT(Table1[[#This Row],[Date]],"mmm")</f>
        <v>Jan</v>
      </c>
      <c r="K721" t="str" cm="1">
        <f t="array" ref="K721">_xlfn.IFS(Table1[[#This Row],[Age]]&lt;25,"18-24",Table1[[#This Row],[Age]]&lt;35,"25-34",Table1[[#This Row],[Age]]&lt;45,"35-44",Table1[[#This Row],[Age]]&lt;55,"45-54",TRUE,"55+")</f>
        <v>55+</v>
      </c>
      <c r="L721" t="str">
        <f>"Q"&amp;ROUNDUP(MONTH(Table1[[#This Row],[Date]])/3,0)</f>
        <v>Q1</v>
      </c>
    </row>
    <row r="722" spans="1:12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5">
        <v>500</v>
      </c>
      <c r="I722" s="5">
        <v>500</v>
      </c>
      <c r="J722" s="2" t="str">
        <f>TEXT(Table1[[#This Row],[Date]],"mmm")</f>
        <v>May</v>
      </c>
      <c r="K722" t="str" cm="1">
        <f t="array" ref="K722">_xlfn.IFS(Table1[[#This Row],[Age]]&lt;25,"18-24",Table1[[#This Row],[Age]]&lt;35,"25-34",Table1[[#This Row],[Age]]&lt;45,"35-44",Table1[[#This Row],[Age]]&lt;55,"45-54",TRUE,"55+")</f>
        <v>45-54</v>
      </c>
      <c r="L722" t="str">
        <f>"Q"&amp;ROUNDUP(MONTH(Table1[[#This Row],[Date]])/3,0)</f>
        <v>Q2</v>
      </c>
    </row>
    <row r="723" spans="1:12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5">
        <v>300</v>
      </c>
      <c r="I723" s="5">
        <v>900</v>
      </c>
      <c r="J723" s="2" t="str">
        <f>TEXT(Table1[[#This Row],[Date]],"mmm")</f>
        <v>Jul</v>
      </c>
      <c r="K723" t="str" cm="1">
        <f t="array" ref="K723">_xlfn.IFS(Table1[[#This Row],[Age]]&lt;25,"18-24",Table1[[#This Row],[Age]]&lt;35,"25-34",Table1[[#This Row],[Age]]&lt;45,"35-44",Table1[[#This Row],[Age]]&lt;55,"45-54",TRUE,"55+")</f>
        <v>18-24</v>
      </c>
      <c r="L723" t="str">
        <f>"Q"&amp;ROUNDUP(MONTH(Table1[[#This Row],[Date]])/3,0)</f>
        <v>Q3</v>
      </c>
    </row>
    <row r="724" spans="1:12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5">
        <v>50</v>
      </c>
      <c r="I724" s="5">
        <v>200</v>
      </c>
      <c r="J724" s="2" t="str">
        <f>TEXT(Table1[[#This Row],[Date]],"mmm")</f>
        <v>Jun</v>
      </c>
      <c r="K724" t="str" cm="1">
        <f t="array" ref="K724">_xlfn.IFS(Table1[[#This Row],[Age]]&lt;25,"18-24",Table1[[#This Row],[Age]]&lt;35,"25-34",Table1[[#This Row],[Age]]&lt;45,"35-44",Table1[[#This Row],[Age]]&lt;55,"45-54",TRUE,"55+")</f>
        <v>45-54</v>
      </c>
      <c r="L724" t="str">
        <f>"Q"&amp;ROUNDUP(MONTH(Table1[[#This Row],[Date]])/3,0)</f>
        <v>Q2</v>
      </c>
    </row>
    <row r="725" spans="1:12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5">
        <v>50</v>
      </c>
      <c r="I725" s="5">
        <v>150</v>
      </c>
      <c r="J725" s="2" t="str">
        <f>TEXT(Table1[[#This Row],[Date]],"mmm")</f>
        <v>Apr</v>
      </c>
      <c r="K725" t="str" cm="1">
        <f t="array" ref="K725">_xlfn.IFS(Table1[[#This Row],[Age]]&lt;25,"18-24",Table1[[#This Row],[Age]]&lt;35,"25-34",Table1[[#This Row],[Age]]&lt;45,"35-44",Table1[[#This Row],[Age]]&lt;55,"45-54",TRUE,"55+")</f>
        <v>55+</v>
      </c>
      <c r="L725" t="str">
        <f>"Q"&amp;ROUNDUP(MONTH(Table1[[#This Row],[Date]])/3,0)</f>
        <v>Q2</v>
      </c>
    </row>
    <row r="726" spans="1:12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5">
        <v>300</v>
      </c>
      <c r="I726" s="5">
        <v>300</v>
      </c>
      <c r="J726" s="2" t="str">
        <f>TEXT(Table1[[#This Row],[Date]],"mmm")</f>
        <v>Aug</v>
      </c>
      <c r="K726" t="str" cm="1">
        <f t="array" ref="K726">_xlfn.IFS(Table1[[#This Row],[Age]]&lt;25,"18-24",Table1[[#This Row],[Age]]&lt;35,"25-34",Table1[[#This Row],[Age]]&lt;45,"35-44",Table1[[#This Row],[Age]]&lt;55,"45-54",TRUE,"55+")</f>
        <v>55+</v>
      </c>
      <c r="L726" t="str">
        <f>"Q"&amp;ROUNDUP(MONTH(Table1[[#This Row],[Date]])/3,0)</f>
        <v>Q3</v>
      </c>
    </row>
    <row r="727" spans="1:12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5">
        <v>300</v>
      </c>
      <c r="I727" s="5">
        <v>1200</v>
      </c>
      <c r="J727" s="2" t="str">
        <f>TEXT(Table1[[#This Row],[Date]],"mmm")</f>
        <v>Jun</v>
      </c>
      <c r="K727" t="str" cm="1">
        <f t="array" ref="K727">_xlfn.IFS(Table1[[#This Row],[Age]]&lt;25,"18-24",Table1[[#This Row],[Age]]&lt;35,"25-34",Table1[[#This Row],[Age]]&lt;45,"35-44",Table1[[#This Row],[Age]]&lt;55,"45-54",TRUE,"55+")</f>
        <v>45-54</v>
      </c>
      <c r="L727" t="str">
        <f>"Q"&amp;ROUNDUP(MONTH(Table1[[#This Row],[Date]])/3,0)</f>
        <v>Q2</v>
      </c>
    </row>
    <row r="728" spans="1:12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5">
        <v>300</v>
      </c>
      <c r="I728" s="5">
        <v>900</v>
      </c>
      <c r="J728" s="2" t="str">
        <f>TEXT(Table1[[#This Row],[Date]],"mmm")</f>
        <v>Jun</v>
      </c>
      <c r="K728" t="str" cm="1">
        <f t="array" ref="K728">_xlfn.IFS(Table1[[#This Row],[Age]]&lt;25,"18-24",Table1[[#This Row],[Age]]&lt;35,"25-34",Table1[[#This Row],[Age]]&lt;45,"35-44",Table1[[#This Row],[Age]]&lt;55,"45-54",TRUE,"55+")</f>
        <v>55+</v>
      </c>
      <c r="L728" t="str">
        <f>"Q"&amp;ROUNDUP(MONTH(Table1[[#This Row],[Date]])/3,0)</f>
        <v>Q2</v>
      </c>
    </row>
    <row r="729" spans="1:12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5">
        <v>50</v>
      </c>
      <c r="I729" s="5">
        <v>150</v>
      </c>
      <c r="J729" s="2" t="str">
        <f>TEXT(Table1[[#This Row],[Date]],"mmm")</f>
        <v>Jul</v>
      </c>
      <c r="K729" t="str" cm="1">
        <f t="array" ref="K729">_xlfn.IFS(Table1[[#This Row],[Age]]&lt;25,"18-24",Table1[[#This Row],[Age]]&lt;35,"25-34",Table1[[#This Row],[Age]]&lt;45,"35-44",Table1[[#This Row],[Age]]&lt;55,"45-54",TRUE,"55+")</f>
        <v>45-54</v>
      </c>
      <c r="L729" t="str">
        <f>"Q"&amp;ROUNDUP(MONTH(Table1[[#This Row],[Date]])/3,0)</f>
        <v>Q3</v>
      </c>
    </row>
    <row r="730" spans="1:12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5">
        <v>300</v>
      </c>
      <c r="I730" s="5">
        <v>1200</v>
      </c>
      <c r="J730" s="2" t="str">
        <f>TEXT(Table1[[#This Row],[Date]],"mmm")</f>
        <v>May</v>
      </c>
      <c r="K730" t="str" cm="1">
        <f t="array" ref="K730">_xlfn.IFS(Table1[[#This Row],[Age]]&lt;25,"18-24",Table1[[#This Row],[Age]]&lt;35,"25-34",Table1[[#This Row],[Age]]&lt;45,"35-44",Table1[[#This Row],[Age]]&lt;55,"45-54",TRUE,"55+")</f>
        <v>25-34</v>
      </c>
      <c r="L730" t="str">
        <f>"Q"&amp;ROUNDUP(MONTH(Table1[[#This Row],[Date]])/3,0)</f>
        <v>Q2</v>
      </c>
    </row>
    <row r="731" spans="1:12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5">
        <v>25</v>
      </c>
      <c r="I731" s="5">
        <v>50</v>
      </c>
      <c r="J731" s="2" t="str">
        <f>TEXT(Table1[[#This Row],[Date]],"mmm")</f>
        <v>Aug</v>
      </c>
      <c r="K731" t="str" cm="1">
        <f t="array" ref="K731">_xlfn.IFS(Table1[[#This Row],[Age]]&lt;25,"18-24",Table1[[#This Row],[Age]]&lt;35,"25-34",Table1[[#This Row],[Age]]&lt;45,"35-44",Table1[[#This Row],[Age]]&lt;55,"45-54",TRUE,"55+")</f>
        <v>35-44</v>
      </c>
      <c r="L731" t="str">
        <f>"Q"&amp;ROUNDUP(MONTH(Table1[[#This Row],[Date]])/3,0)</f>
        <v>Q3</v>
      </c>
    </row>
    <row r="732" spans="1:12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5">
        <v>500</v>
      </c>
      <c r="I732" s="5">
        <v>2000</v>
      </c>
      <c r="J732" s="2" t="str">
        <f>TEXT(Table1[[#This Row],[Date]],"mmm")</f>
        <v>May</v>
      </c>
      <c r="K732" t="str" cm="1">
        <f t="array" ref="K732">_xlfn.IFS(Table1[[#This Row],[Age]]&lt;25,"18-24",Table1[[#This Row],[Age]]&lt;35,"25-34",Table1[[#This Row],[Age]]&lt;45,"35-44",Table1[[#This Row],[Age]]&lt;55,"45-54",TRUE,"55+")</f>
        <v>45-54</v>
      </c>
      <c r="L732" t="str">
        <f>"Q"&amp;ROUNDUP(MONTH(Table1[[#This Row],[Date]])/3,0)</f>
        <v>Q2</v>
      </c>
    </row>
    <row r="733" spans="1:12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5">
        <v>500</v>
      </c>
      <c r="I733" s="5">
        <v>1000</v>
      </c>
      <c r="J733" s="2" t="str">
        <f>TEXT(Table1[[#This Row],[Date]],"mmm")</f>
        <v>Feb</v>
      </c>
      <c r="K733" t="str" cm="1">
        <f t="array" ref="K733">_xlfn.IFS(Table1[[#This Row],[Age]]&lt;25,"18-24",Table1[[#This Row],[Age]]&lt;35,"25-34",Table1[[#This Row],[Age]]&lt;45,"35-44",Table1[[#This Row],[Age]]&lt;55,"45-54",TRUE,"55+")</f>
        <v>55+</v>
      </c>
      <c r="L733" t="str">
        <f>"Q"&amp;ROUNDUP(MONTH(Table1[[#This Row],[Date]])/3,0)</f>
        <v>Q1</v>
      </c>
    </row>
    <row r="734" spans="1:12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5">
        <v>30</v>
      </c>
      <c r="I734" s="5">
        <v>30</v>
      </c>
      <c r="J734" s="2" t="str">
        <f>TEXT(Table1[[#This Row],[Date]],"mmm")</f>
        <v>Aug</v>
      </c>
      <c r="K734" t="str" cm="1">
        <f t="array" ref="K734">_xlfn.IFS(Table1[[#This Row],[Age]]&lt;25,"18-24",Table1[[#This Row],[Age]]&lt;35,"25-34",Table1[[#This Row],[Age]]&lt;45,"35-44",Table1[[#This Row],[Age]]&lt;55,"45-54",TRUE,"55+")</f>
        <v>25-34</v>
      </c>
      <c r="L734" t="str">
        <f>"Q"&amp;ROUNDUP(MONTH(Table1[[#This Row],[Date]])/3,0)</f>
        <v>Q3</v>
      </c>
    </row>
    <row r="735" spans="1:12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5">
        <v>30</v>
      </c>
      <c r="I735" s="5">
        <v>30</v>
      </c>
      <c r="J735" s="2" t="str">
        <f>TEXT(Table1[[#This Row],[Date]],"mmm")</f>
        <v>Jan</v>
      </c>
      <c r="K735" t="str" cm="1">
        <f t="array" ref="K735">_xlfn.IFS(Table1[[#This Row],[Age]]&lt;25,"18-24",Table1[[#This Row],[Age]]&lt;35,"25-34",Table1[[#This Row],[Age]]&lt;45,"35-44",Table1[[#This Row],[Age]]&lt;55,"45-54",TRUE,"55+")</f>
        <v>25-34</v>
      </c>
      <c r="L735" t="str">
        <f>"Q"&amp;ROUNDUP(MONTH(Table1[[#This Row],[Date]])/3,0)</f>
        <v>Q1</v>
      </c>
    </row>
    <row r="736" spans="1:12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5">
        <v>500</v>
      </c>
      <c r="I736" s="5">
        <v>2000</v>
      </c>
      <c r="J736" s="2" t="str">
        <f>TEXT(Table1[[#This Row],[Date]],"mmm")</f>
        <v>Oct</v>
      </c>
      <c r="K736" t="str" cm="1">
        <f t="array" ref="K736">_xlfn.IFS(Table1[[#This Row],[Age]]&lt;25,"18-24",Table1[[#This Row],[Age]]&lt;35,"25-34",Table1[[#This Row],[Age]]&lt;45,"35-44",Table1[[#This Row],[Age]]&lt;55,"45-54",TRUE,"55+")</f>
        <v>55+</v>
      </c>
      <c r="L736" t="str">
        <f>"Q"&amp;ROUNDUP(MONTH(Table1[[#This Row],[Date]])/3,0)</f>
        <v>Q4</v>
      </c>
    </row>
    <row r="737" spans="1:12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5">
        <v>25</v>
      </c>
      <c r="I737" s="5">
        <v>100</v>
      </c>
      <c r="J737" s="2" t="str">
        <f>TEXT(Table1[[#This Row],[Date]],"mmm")</f>
        <v>Jan</v>
      </c>
      <c r="K737" t="str" cm="1">
        <f t="array" ref="K737">_xlfn.IFS(Table1[[#This Row],[Age]]&lt;25,"18-24",Table1[[#This Row],[Age]]&lt;35,"25-34",Table1[[#This Row],[Age]]&lt;45,"35-44",Table1[[#This Row],[Age]]&lt;55,"45-54",TRUE,"55+")</f>
        <v>25-34</v>
      </c>
      <c r="L737" t="str">
        <f>"Q"&amp;ROUNDUP(MONTH(Table1[[#This Row],[Date]])/3,0)</f>
        <v>Q1</v>
      </c>
    </row>
    <row r="738" spans="1:12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5">
        <v>50</v>
      </c>
      <c r="I738" s="5">
        <v>50</v>
      </c>
      <c r="J738" s="2" t="str">
        <f>TEXT(Table1[[#This Row],[Date]],"mmm")</f>
        <v>Jun</v>
      </c>
      <c r="K738" t="str" cm="1">
        <f t="array" ref="K738">_xlfn.IFS(Table1[[#This Row],[Age]]&lt;25,"18-24",Table1[[#This Row],[Age]]&lt;35,"25-34",Table1[[#This Row],[Age]]&lt;45,"35-44",Table1[[#This Row],[Age]]&lt;55,"45-54",TRUE,"55+")</f>
        <v>25-34</v>
      </c>
      <c r="L738" t="str">
        <f>"Q"&amp;ROUNDUP(MONTH(Table1[[#This Row],[Date]])/3,0)</f>
        <v>Q2</v>
      </c>
    </row>
    <row r="739" spans="1:12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5">
        <v>50</v>
      </c>
      <c r="I739" s="5">
        <v>100</v>
      </c>
      <c r="J739" s="2" t="str">
        <f>TEXT(Table1[[#This Row],[Date]],"mmm")</f>
        <v>Apr</v>
      </c>
      <c r="K739" t="str" cm="1">
        <f t="array" ref="K739">_xlfn.IFS(Table1[[#This Row],[Age]]&lt;25,"18-24",Table1[[#This Row],[Age]]&lt;35,"25-34",Table1[[#This Row],[Age]]&lt;45,"35-44",Table1[[#This Row],[Age]]&lt;55,"45-54",TRUE,"55+")</f>
        <v>35-44</v>
      </c>
      <c r="L739" t="str">
        <f>"Q"&amp;ROUNDUP(MONTH(Table1[[#This Row],[Date]])/3,0)</f>
        <v>Q2</v>
      </c>
    </row>
    <row r="740" spans="1:12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5">
        <v>25</v>
      </c>
      <c r="I740" s="5">
        <v>25</v>
      </c>
      <c r="J740" s="2" t="str">
        <f>TEXT(Table1[[#This Row],[Date]],"mmm")</f>
        <v>Nov</v>
      </c>
      <c r="K740" t="str" cm="1">
        <f t="array" ref="K740">_xlfn.IFS(Table1[[#This Row],[Age]]&lt;25,"18-24",Table1[[#This Row],[Age]]&lt;35,"25-34",Table1[[#This Row],[Age]]&lt;45,"35-44",Table1[[#This Row],[Age]]&lt;55,"45-54",TRUE,"55+")</f>
        <v>35-44</v>
      </c>
      <c r="L740" t="str">
        <f>"Q"&amp;ROUNDUP(MONTH(Table1[[#This Row],[Date]])/3,0)</f>
        <v>Q4</v>
      </c>
    </row>
    <row r="741" spans="1:12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5">
        <v>50</v>
      </c>
      <c r="I741" s="5">
        <v>200</v>
      </c>
      <c r="J741" s="2" t="str">
        <f>TEXT(Table1[[#This Row],[Date]],"mmm")</f>
        <v>Feb</v>
      </c>
      <c r="K741" t="str" cm="1">
        <f t="array" ref="K741">_xlfn.IFS(Table1[[#This Row],[Age]]&lt;25,"18-24",Table1[[#This Row],[Age]]&lt;35,"25-34",Table1[[#This Row],[Age]]&lt;45,"35-44",Table1[[#This Row],[Age]]&lt;55,"45-54",TRUE,"55+")</f>
        <v>25-34</v>
      </c>
      <c r="L741" t="str">
        <f>"Q"&amp;ROUNDUP(MONTH(Table1[[#This Row],[Date]])/3,0)</f>
        <v>Q1</v>
      </c>
    </row>
    <row r="742" spans="1:12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5">
        <v>300</v>
      </c>
      <c r="I742" s="5">
        <v>300</v>
      </c>
      <c r="J742" s="2" t="str">
        <f>TEXT(Table1[[#This Row],[Date]],"mmm")</f>
        <v>Nov</v>
      </c>
      <c r="K742" t="str" cm="1">
        <f t="array" ref="K742">_xlfn.IFS(Table1[[#This Row],[Age]]&lt;25,"18-24",Table1[[#This Row],[Age]]&lt;35,"25-34",Table1[[#This Row],[Age]]&lt;45,"35-44",Table1[[#This Row],[Age]]&lt;55,"45-54",TRUE,"55+")</f>
        <v>45-54</v>
      </c>
      <c r="L742" t="str">
        <f>"Q"&amp;ROUNDUP(MONTH(Table1[[#This Row],[Date]])/3,0)</f>
        <v>Q4</v>
      </c>
    </row>
    <row r="743" spans="1:12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5">
        <v>500</v>
      </c>
      <c r="I743" s="5">
        <v>2000</v>
      </c>
      <c r="J743" s="2" t="str">
        <f>TEXT(Table1[[#This Row],[Date]],"mmm")</f>
        <v>Jan</v>
      </c>
      <c r="K743" t="str" cm="1">
        <f t="array" ref="K743">_xlfn.IFS(Table1[[#This Row],[Age]]&lt;25,"18-24",Table1[[#This Row],[Age]]&lt;35,"25-34",Table1[[#This Row],[Age]]&lt;45,"35-44",Table1[[#This Row],[Age]]&lt;55,"45-54",TRUE,"55+")</f>
        <v>35-44</v>
      </c>
      <c r="L743" t="str">
        <f>"Q"&amp;ROUNDUP(MONTH(Table1[[#This Row],[Date]])/3,0)</f>
        <v>Q1</v>
      </c>
    </row>
    <row r="744" spans="1:12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5">
        <v>500</v>
      </c>
      <c r="I744" s="5">
        <v>2000</v>
      </c>
      <c r="J744" s="2" t="str">
        <f>TEXT(Table1[[#This Row],[Date]],"mmm")</f>
        <v>Jan</v>
      </c>
      <c r="K744" t="str" cm="1">
        <f t="array" ref="K744">_xlfn.IFS(Table1[[#This Row],[Age]]&lt;25,"18-24",Table1[[#This Row],[Age]]&lt;35,"25-34",Table1[[#This Row],[Age]]&lt;45,"35-44",Table1[[#This Row],[Age]]&lt;55,"45-54",TRUE,"55+")</f>
        <v>25-34</v>
      </c>
      <c r="L744" t="str">
        <f>"Q"&amp;ROUNDUP(MONTH(Table1[[#This Row],[Date]])/3,0)</f>
        <v>Q1</v>
      </c>
    </row>
    <row r="745" spans="1:12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5">
        <v>25</v>
      </c>
      <c r="I745" s="5">
        <v>25</v>
      </c>
      <c r="J745" s="2" t="str">
        <f>TEXT(Table1[[#This Row],[Date]],"mmm")</f>
        <v>May</v>
      </c>
      <c r="K745" t="str" cm="1">
        <f t="array" ref="K745">_xlfn.IFS(Table1[[#This Row],[Age]]&lt;25,"18-24",Table1[[#This Row],[Age]]&lt;35,"25-34",Table1[[#This Row],[Age]]&lt;45,"35-44",Table1[[#This Row],[Age]]&lt;55,"45-54",TRUE,"55+")</f>
        <v>35-44</v>
      </c>
      <c r="L745" t="str">
        <f>"Q"&amp;ROUNDUP(MONTH(Table1[[#This Row],[Date]])/3,0)</f>
        <v>Q2</v>
      </c>
    </row>
    <row r="746" spans="1:12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5">
        <v>50</v>
      </c>
      <c r="I746" s="5">
        <v>100</v>
      </c>
      <c r="J746" s="2" t="str">
        <f>TEXT(Table1[[#This Row],[Date]],"mmm")</f>
        <v>Apr</v>
      </c>
      <c r="K746" t="str" cm="1">
        <f t="array" ref="K746">_xlfn.IFS(Table1[[#This Row],[Age]]&lt;25,"18-24",Table1[[#This Row],[Age]]&lt;35,"25-34",Table1[[#This Row],[Age]]&lt;45,"35-44",Table1[[#This Row],[Age]]&lt;55,"45-54",TRUE,"55+")</f>
        <v>45-54</v>
      </c>
      <c r="L746" t="str">
        <f>"Q"&amp;ROUNDUP(MONTH(Table1[[#This Row],[Date]])/3,0)</f>
        <v>Q2</v>
      </c>
    </row>
    <row r="747" spans="1:12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5">
        <v>30</v>
      </c>
      <c r="I747" s="5">
        <v>90</v>
      </c>
      <c r="J747" s="2" t="str">
        <f>TEXT(Table1[[#This Row],[Date]],"mmm")</f>
        <v>Jan</v>
      </c>
      <c r="K747" t="str" cm="1">
        <f t="array" ref="K747">_xlfn.IFS(Table1[[#This Row],[Age]]&lt;25,"18-24",Table1[[#This Row],[Age]]&lt;35,"25-34",Table1[[#This Row],[Age]]&lt;45,"35-44",Table1[[#This Row],[Age]]&lt;55,"45-54",TRUE,"55+")</f>
        <v>25-34</v>
      </c>
      <c r="L747" t="str">
        <f>"Q"&amp;ROUNDUP(MONTH(Table1[[#This Row],[Date]])/3,0)</f>
        <v>Q1</v>
      </c>
    </row>
    <row r="748" spans="1:12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5">
        <v>30</v>
      </c>
      <c r="I748" s="5">
        <v>30</v>
      </c>
      <c r="J748" s="2" t="str">
        <f>TEXT(Table1[[#This Row],[Date]],"mmm")</f>
        <v>Nov</v>
      </c>
      <c r="K748" t="str" cm="1">
        <f t="array" ref="K748">_xlfn.IFS(Table1[[#This Row],[Age]]&lt;25,"18-24",Table1[[#This Row],[Age]]&lt;35,"25-34",Table1[[#This Row],[Age]]&lt;45,"35-44",Table1[[#This Row],[Age]]&lt;55,"45-54",TRUE,"55+")</f>
        <v>18-24</v>
      </c>
      <c r="L748" t="str">
        <f>"Q"&amp;ROUNDUP(MONTH(Table1[[#This Row],[Date]])/3,0)</f>
        <v>Q4</v>
      </c>
    </row>
    <row r="749" spans="1:12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5">
        <v>50</v>
      </c>
      <c r="I749" s="5">
        <v>150</v>
      </c>
      <c r="J749" s="2" t="str">
        <f>TEXT(Table1[[#This Row],[Date]],"mmm")</f>
        <v>Mar</v>
      </c>
      <c r="K749" t="str" cm="1">
        <f t="array" ref="K749">_xlfn.IFS(Table1[[#This Row],[Age]]&lt;25,"18-24",Table1[[#This Row],[Age]]&lt;35,"25-34",Table1[[#This Row],[Age]]&lt;45,"35-44",Table1[[#This Row],[Age]]&lt;55,"45-54",TRUE,"55+")</f>
        <v>25-34</v>
      </c>
      <c r="L749" t="str">
        <f>"Q"&amp;ROUNDUP(MONTH(Table1[[#This Row],[Date]])/3,0)</f>
        <v>Q1</v>
      </c>
    </row>
    <row r="750" spans="1:12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5">
        <v>30</v>
      </c>
      <c r="I750" s="5">
        <v>30</v>
      </c>
      <c r="J750" s="2" t="str">
        <f>TEXT(Table1[[#This Row],[Date]],"mmm")</f>
        <v>May</v>
      </c>
      <c r="K750" t="str" cm="1">
        <f t="array" ref="K750">_xlfn.IFS(Table1[[#This Row],[Age]]&lt;25,"18-24",Table1[[#This Row],[Age]]&lt;35,"25-34",Table1[[#This Row],[Age]]&lt;45,"35-44",Table1[[#This Row],[Age]]&lt;55,"45-54",TRUE,"55+")</f>
        <v>35-44</v>
      </c>
      <c r="L750" t="str">
        <f>"Q"&amp;ROUNDUP(MONTH(Table1[[#This Row],[Date]])/3,0)</f>
        <v>Q2</v>
      </c>
    </row>
    <row r="751" spans="1:12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5">
        <v>25</v>
      </c>
      <c r="I751" s="5">
        <v>75</v>
      </c>
      <c r="J751" s="2" t="str">
        <f>TEXT(Table1[[#This Row],[Date]],"mmm")</f>
        <v>Mar</v>
      </c>
      <c r="K751" t="str" cm="1">
        <f t="array" ref="K751">_xlfn.IFS(Table1[[#This Row],[Age]]&lt;25,"18-24",Table1[[#This Row],[Age]]&lt;35,"25-34",Table1[[#This Row],[Age]]&lt;45,"35-44",Table1[[#This Row],[Age]]&lt;55,"45-54",TRUE,"55+")</f>
        <v>35-44</v>
      </c>
      <c r="L751" t="str">
        <f>"Q"&amp;ROUNDUP(MONTH(Table1[[#This Row],[Date]])/3,0)</f>
        <v>Q1</v>
      </c>
    </row>
    <row r="752" spans="1:12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5">
        <v>25</v>
      </c>
      <c r="I752" s="5">
        <v>50</v>
      </c>
      <c r="J752" s="2" t="str">
        <f>TEXT(Table1[[#This Row],[Date]],"mmm")</f>
        <v>Aug</v>
      </c>
      <c r="K752" t="str" cm="1">
        <f t="array" ref="K752">_xlfn.IFS(Table1[[#This Row],[Age]]&lt;25,"18-24",Table1[[#This Row],[Age]]&lt;35,"25-34",Table1[[#This Row],[Age]]&lt;45,"35-44",Table1[[#This Row],[Age]]&lt;55,"45-54",TRUE,"55+")</f>
        <v>35-44</v>
      </c>
      <c r="L752" t="str">
        <f>"Q"&amp;ROUNDUP(MONTH(Table1[[#This Row],[Date]])/3,0)</f>
        <v>Q3</v>
      </c>
    </row>
    <row r="753" spans="1:12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5">
        <v>50</v>
      </c>
      <c r="I753" s="5">
        <v>100</v>
      </c>
      <c r="J753" s="2" t="str">
        <f>TEXT(Table1[[#This Row],[Date]],"mmm")</f>
        <v>Dec</v>
      </c>
      <c r="K753" t="str" cm="1">
        <f t="array" ref="K753">_xlfn.IFS(Table1[[#This Row],[Age]]&lt;25,"18-24",Table1[[#This Row],[Age]]&lt;35,"25-34",Table1[[#This Row],[Age]]&lt;45,"35-44",Table1[[#This Row],[Age]]&lt;55,"45-54",TRUE,"55+")</f>
        <v>25-34</v>
      </c>
      <c r="L753" t="str">
        <f>"Q"&amp;ROUNDUP(MONTH(Table1[[#This Row],[Date]])/3,0)</f>
        <v>Q4</v>
      </c>
    </row>
    <row r="754" spans="1:12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5">
        <v>30</v>
      </c>
      <c r="I754" s="5">
        <v>30</v>
      </c>
      <c r="J754" s="2" t="str">
        <f>TEXT(Table1[[#This Row],[Date]],"mmm")</f>
        <v>Feb</v>
      </c>
      <c r="K754" t="str" cm="1">
        <f t="array" ref="K754">_xlfn.IFS(Table1[[#This Row],[Age]]&lt;25,"18-24",Table1[[#This Row],[Age]]&lt;35,"25-34",Table1[[#This Row],[Age]]&lt;45,"35-44",Table1[[#This Row],[Age]]&lt;55,"45-54",TRUE,"55+")</f>
        <v>25-34</v>
      </c>
      <c r="L754" t="str">
        <f>"Q"&amp;ROUNDUP(MONTH(Table1[[#This Row],[Date]])/3,0)</f>
        <v>Q1</v>
      </c>
    </row>
    <row r="755" spans="1:12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5">
        <v>25</v>
      </c>
      <c r="I755" s="5">
        <v>100</v>
      </c>
      <c r="J755" s="2" t="str">
        <f>TEXT(Table1[[#This Row],[Date]],"mmm")</f>
        <v>Oct</v>
      </c>
      <c r="K755" t="str" cm="1">
        <f t="array" ref="K755">_xlfn.IFS(Table1[[#This Row],[Age]]&lt;25,"18-24",Table1[[#This Row],[Age]]&lt;35,"25-34",Table1[[#This Row],[Age]]&lt;45,"35-44",Table1[[#This Row],[Age]]&lt;55,"45-54",TRUE,"55+")</f>
        <v>35-44</v>
      </c>
      <c r="L755" t="str">
        <f>"Q"&amp;ROUNDUP(MONTH(Table1[[#This Row],[Date]])/3,0)</f>
        <v>Q4</v>
      </c>
    </row>
    <row r="756" spans="1:12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5">
        <v>25</v>
      </c>
      <c r="I756" s="5">
        <v>75</v>
      </c>
      <c r="J756" s="2" t="str">
        <f>TEXT(Table1[[#This Row],[Date]],"mmm")</f>
        <v>Apr</v>
      </c>
      <c r="K756" t="str" cm="1">
        <f t="array" ref="K756">_xlfn.IFS(Table1[[#This Row],[Age]]&lt;25,"18-24",Table1[[#This Row],[Age]]&lt;35,"25-34",Table1[[#This Row],[Age]]&lt;45,"35-44",Table1[[#This Row],[Age]]&lt;55,"45-54",TRUE,"55+")</f>
        <v>55+</v>
      </c>
      <c r="L756" t="str">
        <f>"Q"&amp;ROUNDUP(MONTH(Table1[[#This Row],[Date]])/3,0)</f>
        <v>Q2</v>
      </c>
    </row>
    <row r="757" spans="1:12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5">
        <v>300</v>
      </c>
      <c r="I757" s="5">
        <v>1200</v>
      </c>
      <c r="J757" s="2" t="str">
        <f>TEXT(Table1[[#This Row],[Date]],"mmm")</f>
        <v>Aug</v>
      </c>
      <c r="K757" t="str" cm="1">
        <f t="array" ref="K757">_xlfn.IFS(Table1[[#This Row],[Age]]&lt;25,"18-24",Table1[[#This Row],[Age]]&lt;35,"25-34",Table1[[#This Row],[Age]]&lt;45,"35-44",Table1[[#This Row],[Age]]&lt;55,"45-54",TRUE,"55+")</f>
        <v>55+</v>
      </c>
      <c r="L757" t="str">
        <f>"Q"&amp;ROUNDUP(MONTH(Table1[[#This Row],[Date]])/3,0)</f>
        <v>Q3</v>
      </c>
    </row>
    <row r="758" spans="1:12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5">
        <v>300</v>
      </c>
      <c r="I758" s="5">
        <v>1200</v>
      </c>
      <c r="J758" s="2" t="str">
        <f>TEXT(Table1[[#This Row],[Date]],"mmm")</f>
        <v>Dec</v>
      </c>
      <c r="K758" t="str" cm="1">
        <f t="array" ref="K758">_xlfn.IFS(Table1[[#This Row],[Age]]&lt;25,"18-24",Table1[[#This Row],[Age]]&lt;35,"25-34",Table1[[#This Row],[Age]]&lt;45,"35-44",Table1[[#This Row],[Age]]&lt;55,"45-54",TRUE,"55+")</f>
        <v>35-44</v>
      </c>
      <c r="L758" t="str">
        <f>"Q"&amp;ROUNDUP(MONTH(Table1[[#This Row],[Date]])/3,0)</f>
        <v>Q4</v>
      </c>
    </row>
    <row r="759" spans="1:12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5">
        <v>25</v>
      </c>
      <c r="I759" s="5">
        <v>100</v>
      </c>
      <c r="J759" s="2" t="str">
        <f>TEXT(Table1[[#This Row],[Date]],"mmm")</f>
        <v>May</v>
      </c>
      <c r="K759" t="str" cm="1">
        <f t="array" ref="K759">_xlfn.IFS(Table1[[#This Row],[Age]]&lt;25,"18-24",Table1[[#This Row],[Age]]&lt;35,"25-34",Table1[[#This Row],[Age]]&lt;45,"35-44",Table1[[#This Row],[Age]]&lt;55,"45-54",TRUE,"55+")</f>
        <v>55+</v>
      </c>
      <c r="L759" t="str">
        <f>"Q"&amp;ROUNDUP(MONTH(Table1[[#This Row],[Date]])/3,0)</f>
        <v>Q2</v>
      </c>
    </row>
    <row r="760" spans="1:12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5">
        <v>50</v>
      </c>
      <c r="I760" s="5">
        <v>100</v>
      </c>
      <c r="J760" s="2" t="str">
        <f>TEXT(Table1[[#This Row],[Date]],"mmm")</f>
        <v>Jul</v>
      </c>
      <c r="K760" t="str" cm="1">
        <f t="array" ref="K760">_xlfn.IFS(Table1[[#This Row],[Age]]&lt;25,"18-24",Table1[[#This Row],[Age]]&lt;35,"25-34",Table1[[#This Row],[Age]]&lt;45,"35-44",Table1[[#This Row],[Age]]&lt;55,"45-54",TRUE,"55+")</f>
        <v>45-54</v>
      </c>
      <c r="L760" t="str">
        <f>"Q"&amp;ROUNDUP(MONTH(Table1[[#This Row],[Date]])/3,0)</f>
        <v>Q3</v>
      </c>
    </row>
    <row r="761" spans="1:12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5">
        <v>500</v>
      </c>
      <c r="I761" s="5">
        <v>500</v>
      </c>
      <c r="J761" s="2" t="str">
        <f>TEXT(Table1[[#This Row],[Date]],"mmm")</f>
        <v>Mar</v>
      </c>
      <c r="K761" t="str" cm="1">
        <f t="array" ref="K761">_xlfn.IFS(Table1[[#This Row],[Age]]&lt;25,"18-24",Table1[[#This Row],[Age]]&lt;35,"25-34",Table1[[#This Row],[Age]]&lt;45,"35-44",Table1[[#This Row],[Age]]&lt;55,"45-54",TRUE,"55+")</f>
        <v>25-34</v>
      </c>
      <c r="L761" t="str">
        <f>"Q"&amp;ROUNDUP(MONTH(Table1[[#This Row],[Date]])/3,0)</f>
        <v>Q1</v>
      </c>
    </row>
    <row r="762" spans="1:12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5">
        <v>500</v>
      </c>
      <c r="I762" s="5">
        <v>500</v>
      </c>
      <c r="J762" s="2" t="str">
        <f>TEXT(Table1[[#This Row],[Date]],"mmm")</f>
        <v>Nov</v>
      </c>
      <c r="K762" t="str" cm="1">
        <f t="array" ref="K762">_xlfn.IFS(Table1[[#This Row],[Age]]&lt;25,"18-24",Table1[[#This Row],[Age]]&lt;35,"25-34",Table1[[#This Row],[Age]]&lt;45,"35-44",Table1[[#This Row],[Age]]&lt;55,"45-54",TRUE,"55+")</f>
        <v>25-34</v>
      </c>
      <c r="L762" t="str">
        <f>"Q"&amp;ROUNDUP(MONTH(Table1[[#This Row],[Date]])/3,0)</f>
        <v>Q4</v>
      </c>
    </row>
    <row r="763" spans="1:12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5">
        <v>25</v>
      </c>
      <c r="I763" s="5">
        <v>50</v>
      </c>
      <c r="J763" s="2" t="str">
        <f>TEXT(Table1[[#This Row],[Date]],"mmm")</f>
        <v>Nov</v>
      </c>
      <c r="K763" t="str" cm="1">
        <f t="array" ref="K763">_xlfn.IFS(Table1[[#This Row],[Age]]&lt;25,"18-24",Table1[[#This Row],[Age]]&lt;35,"25-34",Table1[[#This Row],[Age]]&lt;45,"35-44",Table1[[#This Row],[Age]]&lt;55,"45-54",TRUE,"55+")</f>
        <v>18-24</v>
      </c>
      <c r="L763" t="str">
        <f>"Q"&amp;ROUNDUP(MONTH(Table1[[#This Row],[Date]])/3,0)</f>
        <v>Q4</v>
      </c>
    </row>
    <row r="764" spans="1:12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5">
        <v>25</v>
      </c>
      <c r="I764" s="5">
        <v>50</v>
      </c>
      <c r="J764" s="2" t="str">
        <f>TEXT(Table1[[#This Row],[Date]],"mmm")</f>
        <v>Feb</v>
      </c>
      <c r="K764" t="str" cm="1">
        <f t="array" ref="K764">_xlfn.IFS(Table1[[#This Row],[Age]]&lt;25,"18-24",Table1[[#This Row],[Age]]&lt;35,"25-34",Table1[[#This Row],[Age]]&lt;45,"35-44",Table1[[#This Row],[Age]]&lt;55,"45-54",TRUE,"55+")</f>
        <v>25-34</v>
      </c>
      <c r="L764" t="str">
        <f>"Q"&amp;ROUNDUP(MONTH(Table1[[#This Row],[Date]])/3,0)</f>
        <v>Q1</v>
      </c>
    </row>
    <row r="765" spans="1:12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5">
        <v>25</v>
      </c>
      <c r="I765" s="5">
        <v>25</v>
      </c>
      <c r="J765" s="2" t="str">
        <f>TEXT(Table1[[#This Row],[Date]],"mmm")</f>
        <v>Mar</v>
      </c>
      <c r="K765" t="str" cm="1">
        <f t="array" ref="K765">_xlfn.IFS(Table1[[#This Row],[Age]]&lt;25,"18-24",Table1[[#This Row],[Age]]&lt;35,"25-34",Table1[[#This Row],[Age]]&lt;45,"35-44",Table1[[#This Row],[Age]]&lt;55,"45-54",TRUE,"55+")</f>
        <v>35-44</v>
      </c>
      <c r="L765" t="str">
        <f>"Q"&amp;ROUNDUP(MONTH(Table1[[#This Row],[Date]])/3,0)</f>
        <v>Q1</v>
      </c>
    </row>
    <row r="766" spans="1:12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5">
        <v>50</v>
      </c>
      <c r="I766" s="5">
        <v>200</v>
      </c>
      <c r="J766" s="2" t="str">
        <f>TEXT(Table1[[#This Row],[Date]],"mmm")</f>
        <v>Jun</v>
      </c>
      <c r="K766" t="str" cm="1">
        <f t="array" ref="K766">_xlfn.IFS(Table1[[#This Row],[Age]]&lt;25,"18-24",Table1[[#This Row],[Age]]&lt;35,"25-34",Table1[[#This Row],[Age]]&lt;45,"35-44",Table1[[#This Row],[Age]]&lt;55,"45-54",TRUE,"55+")</f>
        <v>35-44</v>
      </c>
      <c r="L766" t="str">
        <f>"Q"&amp;ROUNDUP(MONTH(Table1[[#This Row],[Date]])/3,0)</f>
        <v>Q2</v>
      </c>
    </row>
    <row r="767" spans="1:12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5">
        <v>300</v>
      </c>
      <c r="I767" s="5">
        <v>900</v>
      </c>
      <c r="J767" s="2" t="str">
        <f>TEXT(Table1[[#This Row],[Date]],"mmm")</f>
        <v>Feb</v>
      </c>
      <c r="K767" t="str" cm="1">
        <f t="array" ref="K767">_xlfn.IFS(Table1[[#This Row],[Age]]&lt;25,"18-24",Table1[[#This Row],[Age]]&lt;35,"25-34",Table1[[#This Row],[Age]]&lt;45,"35-44",Table1[[#This Row],[Age]]&lt;55,"45-54",TRUE,"55+")</f>
        <v>35-44</v>
      </c>
      <c r="L767" t="str">
        <f>"Q"&amp;ROUNDUP(MONTH(Table1[[#This Row],[Date]])/3,0)</f>
        <v>Q1</v>
      </c>
    </row>
    <row r="768" spans="1:12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5">
        <v>25</v>
      </c>
      <c r="I768" s="5">
        <v>75</v>
      </c>
      <c r="J768" s="2" t="str">
        <f>TEXT(Table1[[#This Row],[Date]],"mmm")</f>
        <v>Oct</v>
      </c>
      <c r="K768" t="str" cm="1">
        <f t="array" ref="K768">_xlfn.IFS(Table1[[#This Row],[Age]]&lt;25,"18-24",Table1[[#This Row],[Age]]&lt;35,"25-34",Table1[[#This Row],[Age]]&lt;45,"35-44",Table1[[#This Row],[Age]]&lt;55,"45-54",TRUE,"55+")</f>
        <v>35-44</v>
      </c>
      <c r="L768" t="str">
        <f>"Q"&amp;ROUNDUP(MONTH(Table1[[#This Row],[Date]])/3,0)</f>
        <v>Q4</v>
      </c>
    </row>
    <row r="769" spans="1:12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5">
        <v>25</v>
      </c>
      <c r="I769" s="5">
        <v>75</v>
      </c>
      <c r="J769" s="2" t="str">
        <f>TEXT(Table1[[#This Row],[Date]],"mmm")</f>
        <v>Jan</v>
      </c>
      <c r="K769" t="str" cm="1">
        <f t="array" ref="K769">_xlfn.IFS(Table1[[#This Row],[Age]]&lt;25,"18-24",Table1[[#This Row],[Age]]&lt;35,"25-34",Table1[[#This Row],[Age]]&lt;45,"35-44",Table1[[#This Row],[Age]]&lt;55,"45-54",TRUE,"55+")</f>
        <v>18-24</v>
      </c>
      <c r="L769" t="str">
        <f>"Q"&amp;ROUNDUP(MONTH(Table1[[#This Row],[Date]])/3,0)</f>
        <v>Q1</v>
      </c>
    </row>
    <row r="770" spans="1:12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5">
        <v>30</v>
      </c>
      <c r="I770" s="5">
        <v>120</v>
      </c>
      <c r="J770" s="2" t="str">
        <f>TEXT(Table1[[#This Row],[Date]],"mmm")</f>
        <v>Jun</v>
      </c>
      <c r="K770" t="str" cm="1">
        <f t="array" ref="K770">_xlfn.IFS(Table1[[#This Row],[Age]]&lt;25,"18-24",Table1[[#This Row],[Age]]&lt;35,"25-34",Table1[[#This Row],[Age]]&lt;45,"35-44",Table1[[#This Row],[Age]]&lt;55,"45-54",TRUE,"55+")</f>
        <v>25-34</v>
      </c>
      <c r="L770" t="str">
        <f>"Q"&amp;ROUNDUP(MONTH(Table1[[#This Row],[Date]])/3,0)</f>
        <v>Q2</v>
      </c>
    </row>
    <row r="771" spans="1:12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5">
        <v>50</v>
      </c>
      <c r="I771" s="5">
        <v>50</v>
      </c>
      <c r="J771" s="2" t="str">
        <f>TEXT(Table1[[#This Row],[Date]],"mmm")</f>
        <v>Oct</v>
      </c>
      <c r="K771" t="str" cm="1">
        <f t="array" ref="K771">_xlfn.IFS(Table1[[#This Row],[Age]]&lt;25,"18-24",Table1[[#This Row],[Age]]&lt;35,"25-34",Table1[[#This Row],[Age]]&lt;45,"35-44",Table1[[#This Row],[Age]]&lt;55,"45-54",TRUE,"55+")</f>
        <v>25-34</v>
      </c>
      <c r="L771" t="str">
        <f>"Q"&amp;ROUNDUP(MONTH(Table1[[#This Row],[Date]])/3,0)</f>
        <v>Q4</v>
      </c>
    </row>
    <row r="772" spans="1:12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5">
        <v>25</v>
      </c>
      <c r="I772" s="5">
        <v>50</v>
      </c>
      <c r="J772" s="2" t="str">
        <f>TEXT(Table1[[#This Row],[Date]],"mmm")</f>
        <v>Dec</v>
      </c>
      <c r="K772" t="str" cm="1">
        <f t="array" ref="K772">_xlfn.IFS(Table1[[#This Row],[Age]]&lt;25,"18-24",Table1[[#This Row],[Age]]&lt;35,"25-34",Table1[[#This Row],[Age]]&lt;45,"35-44",Table1[[#This Row],[Age]]&lt;55,"45-54",TRUE,"55+")</f>
        <v>18-24</v>
      </c>
      <c r="L772" t="str">
        <f>"Q"&amp;ROUNDUP(MONTH(Table1[[#This Row],[Date]])/3,0)</f>
        <v>Q4</v>
      </c>
    </row>
    <row r="773" spans="1:12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5">
        <v>30</v>
      </c>
      <c r="I773" s="5">
        <v>30</v>
      </c>
      <c r="J773" s="2" t="str">
        <f>TEXT(Table1[[#This Row],[Date]],"mmm")</f>
        <v>Jul</v>
      </c>
      <c r="K773" t="str" cm="1">
        <f t="array" ref="K773">_xlfn.IFS(Table1[[#This Row],[Age]]&lt;25,"18-24",Table1[[#This Row],[Age]]&lt;35,"25-34",Table1[[#This Row],[Age]]&lt;45,"35-44",Table1[[#This Row],[Age]]&lt;55,"45-54",TRUE,"55+")</f>
        <v>25-34</v>
      </c>
      <c r="L773" t="str">
        <f>"Q"&amp;ROUNDUP(MONTH(Table1[[#This Row],[Date]])/3,0)</f>
        <v>Q3</v>
      </c>
    </row>
    <row r="774" spans="1:12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5">
        <v>500</v>
      </c>
      <c r="I774" s="5">
        <v>2000</v>
      </c>
      <c r="J774" s="2" t="str">
        <f>TEXT(Table1[[#This Row],[Date]],"mmm")</f>
        <v>Jul</v>
      </c>
      <c r="K774" t="str" cm="1">
        <f t="array" ref="K774">_xlfn.IFS(Table1[[#This Row],[Age]]&lt;25,"18-24",Table1[[#This Row],[Age]]&lt;35,"25-34",Table1[[#This Row],[Age]]&lt;45,"35-44",Table1[[#This Row],[Age]]&lt;55,"45-54",TRUE,"55+")</f>
        <v>25-34</v>
      </c>
      <c r="L774" t="str">
        <f>"Q"&amp;ROUNDUP(MONTH(Table1[[#This Row],[Date]])/3,0)</f>
        <v>Q3</v>
      </c>
    </row>
    <row r="775" spans="1:12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5">
        <v>25</v>
      </c>
      <c r="I775" s="5">
        <v>50</v>
      </c>
      <c r="J775" s="2" t="str">
        <f>TEXT(Table1[[#This Row],[Date]],"mmm")</f>
        <v>Apr</v>
      </c>
      <c r="K775" t="str" cm="1">
        <f t="array" ref="K775">_xlfn.IFS(Table1[[#This Row],[Age]]&lt;25,"18-24",Table1[[#This Row],[Age]]&lt;35,"25-34",Table1[[#This Row],[Age]]&lt;45,"35-44",Table1[[#This Row],[Age]]&lt;55,"45-54",TRUE,"55+")</f>
        <v>35-44</v>
      </c>
      <c r="L775" t="str">
        <f>"Q"&amp;ROUNDUP(MONTH(Table1[[#This Row],[Date]])/3,0)</f>
        <v>Q2</v>
      </c>
    </row>
    <row r="776" spans="1:12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5">
        <v>25</v>
      </c>
      <c r="I776" s="5">
        <v>100</v>
      </c>
      <c r="J776" s="2" t="str">
        <f>TEXT(Table1[[#This Row],[Date]],"mmm")</f>
        <v>Feb</v>
      </c>
      <c r="K776" t="str" cm="1">
        <f t="array" ref="K776">_xlfn.IFS(Table1[[#This Row],[Age]]&lt;25,"18-24",Table1[[#This Row],[Age]]&lt;35,"25-34",Table1[[#This Row],[Age]]&lt;45,"35-44",Table1[[#This Row],[Age]]&lt;55,"45-54",TRUE,"55+")</f>
        <v>45-54</v>
      </c>
      <c r="L776" t="str">
        <f>"Q"&amp;ROUNDUP(MONTH(Table1[[#This Row],[Date]])/3,0)</f>
        <v>Q1</v>
      </c>
    </row>
    <row r="777" spans="1:12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5">
        <v>30</v>
      </c>
      <c r="I777" s="5">
        <v>90</v>
      </c>
      <c r="J777" s="2" t="str">
        <f>TEXT(Table1[[#This Row],[Date]],"mmm")</f>
        <v>Oct</v>
      </c>
      <c r="K777" t="str" cm="1">
        <f t="array" ref="K777">_xlfn.IFS(Table1[[#This Row],[Age]]&lt;25,"18-24",Table1[[#This Row],[Age]]&lt;35,"25-34",Table1[[#This Row],[Age]]&lt;45,"35-44",Table1[[#This Row],[Age]]&lt;55,"45-54",TRUE,"55+")</f>
        <v>35-44</v>
      </c>
      <c r="L777" t="str">
        <f>"Q"&amp;ROUNDUP(MONTH(Table1[[#This Row],[Date]])/3,0)</f>
        <v>Q4</v>
      </c>
    </row>
    <row r="778" spans="1:12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5">
        <v>50</v>
      </c>
      <c r="I778" s="5">
        <v>150</v>
      </c>
      <c r="J778" s="2" t="str">
        <f>TEXT(Table1[[#This Row],[Date]],"mmm")</f>
        <v>Dec</v>
      </c>
      <c r="K778" t="str" cm="1">
        <f t="array" ref="K778">_xlfn.IFS(Table1[[#This Row],[Age]]&lt;25,"18-24",Table1[[#This Row],[Age]]&lt;35,"25-34",Table1[[#This Row],[Age]]&lt;45,"35-44",Table1[[#This Row],[Age]]&lt;55,"45-54",TRUE,"55+")</f>
        <v>45-54</v>
      </c>
      <c r="L778" t="str">
        <f>"Q"&amp;ROUNDUP(MONTH(Table1[[#This Row],[Date]])/3,0)</f>
        <v>Q4</v>
      </c>
    </row>
    <row r="779" spans="1:12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5">
        <v>25</v>
      </c>
      <c r="I779" s="5">
        <v>100</v>
      </c>
      <c r="J779" s="2" t="str">
        <f>TEXT(Table1[[#This Row],[Date]],"mmm")</f>
        <v>Nov</v>
      </c>
      <c r="K779" t="str" cm="1">
        <f t="array" ref="K779">_xlfn.IFS(Table1[[#This Row],[Age]]&lt;25,"18-24",Table1[[#This Row],[Age]]&lt;35,"25-34",Table1[[#This Row],[Age]]&lt;45,"35-44",Table1[[#This Row],[Age]]&lt;55,"45-54",TRUE,"55+")</f>
        <v>45-54</v>
      </c>
      <c r="L779" t="str">
        <f>"Q"&amp;ROUNDUP(MONTH(Table1[[#This Row],[Date]])/3,0)</f>
        <v>Q4</v>
      </c>
    </row>
    <row r="780" spans="1:12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5">
        <v>500</v>
      </c>
      <c r="I780" s="5">
        <v>1000</v>
      </c>
      <c r="J780" s="2" t="str">
        <f>TEXT(Table1[[#This Row],[Date]],"mmm")</f>
        <v>May</v>
      </c>
      <c r="K780" t="str" cm="1">
        <f t="array" ref="K780">_xlfn.IFS(Table1[[#This Row],[Age]]&lt;25,"18-24",Table1[[#This Row],[Age]]&lt;35,"25-34",Table1[[#This Row],[Age]]&lt;45,"35-44",Table1[[#This Row],[Age]]&lt;55,"45-54",TRUE,"55+")</f>
        <v>55+</v>
      </c>
      <c r="L780" t="str">
        <f>"Q"&amp;ROUNDUP(MONTH(Table1[[#This Row],[Date]])/3,0)</f>
        <v>Q2</v>
      </c>
    </row>
    <row r="781" spans="1:12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5">
        <v>25</v>
      </c>
      <c r="I781" s="5">
        <v>50</v>
      </c>
      <c r="J781" s="2" t="str">
        <f>TEXT(Table1[[#This Row],[Date]],"mmm")</f>
        <v>Feb</v>
      </c>
      <c r="K781" t="str" cm="1">
        <f t="array" ref="K781">_xlfn.IFS(Table1[[#This Row],[Age]]&lt;25,"18-24",Table1[[#This Row],[Age]]&lt;35,"25-34",Table1[[#This Row],[Age]]&lt;45,"35-44",Table1[[#This Row],[Age]]&lt;55,"45-54",TRUE,"55+")</f>
        <v>45-54</v>
      </c>
      <c r="L781" t="str">
        <f>"Q"&amp;ROUNDUP(MONTH(Table1[[#This Row],[Date]])/3,0)</f>
        <v>Q1</v>
      </c>
    </row>
    <row r="782" spans="1:12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5">
        <v>500</v>
      </c>
      <c r="I782" s="5">
        <v>500</v>
      </c>
      <c r="J782" s="2" t="str">
        <f>TEXT(Table1[[#This Row],[Date]],"mmm")</f>
        <v>Dec</v>
      </c>
      <c r="K782" t="str" cm="1">
        <f t="array" ref="K782">_xlfn.IFS(Table1[[#This Row],[Age]]&lt;25,"18-24",Table1[[#This Row],[Age]]&lt;35,"25-34",Table1[[#This Row],[Age]]&lt;45,"35-44",Table1[[#This Row],[Age]]&lt;55,"45-54",TRUE,"55+")</f>
        <v>35-44</v>
      </c>
      <c r="L782" t="str">
        <f>"Q"&amp;ROUNDUP(MONTH(Table1[[#This Row],[Date]])/3,0)</f>
        <v>Q4</v>
      </c>
    </row>
    <row r="783" spans="1:12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5">
        <v>300</v>
      </c>
      <c r="I783" s="5">
        <v>900</v>
      </c>
      <c r="J783" s="2" t="str">
        <f>TEXT(Table1[[#This Row],[Date]],"mmm")</f>
        <v>Jun</v>
      </c>
      <c r="K783" t="str" cm="1">
        <f t="array" ref="K783">_xlfn.IFS(Table1[[#This Row],[Age]]&lt;25,"18-24",Table1[[#This Row],[Age]]&lt;35,"25-34",Table1[[#This Row],[Age]]&lt;45,"35-44",Table1[[#This Row],[Age]]&lt;55,"45-54",TRUE,"55+")</f>
        <v>55+</v>
      </c>
      <c r="L783" t="str">
        <f>"Q"&amp;ROUNDUP(MONTH(Table1[[#This Row],[Date]])/3,0)</f>
        <v>Q2</v>
      </c>
    </row>
    <row r="784" spans="1:12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5">
        <v>300</v>
      </c>
      <c r="I784" s="5">
        <v>300</v>
      </c>
      <c r="J784" s="2" t="str">
        <f>TEXT(Table1[[#This Row],[Date]],"mmm")</f>
        <v>Dec</v>
      </c>
      <c r="K784" t="str" cm="1">
        <f t="array" ref="K784">_xlfn.IFS(Table1[[#This Row],[Age]]&lt;25,"18-24",Table1[[#This Row],[Age]]&lt;35,"25-34",Table1[[#This Row],[Age]]&lt;45,"35-44",Table1[[#This Row],[Age]]&lt;55,"45-54",TRUE,"55+")</f>
        <v>55+</v>
      </c>
      <c r="L784" t="str">
        <f>"Q"&amp;ROUNDUP(MONTH(Table1[[#This Row],[Date]])/3,0)</f>
        <v>Q4</v>
      </c>
    </row>
    <row r="785" spans="1:12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5">
        <v>500</v>
      </c>
      <c r="I785" s="5">
        <v>500</v>
      </c>
      <c r="J785" s="2" t="str">
        <f>TEXT(Table1[[#This Row],[Date]],"mmm")</f>
        <v>Nov</v>
      </c>
      <c r="K785" t="str" cm="1">
        <f t="array" ref="K785">_xlfn.IFS(Table1[[#This Row],[Age]]&lt;25,"18-24",Table1[[#This Row],[Age]]&lt;35,"25-34",Table1[[#This Row],[Age]]&lt;45,"35-44",Table1[[#This Row],[Age]]&lt;55,"45-54",TRUE,"55+")</f>
        <v>25-34</v>
      </c>
      <c r="L785" t="str">
        <f>"Q"&amp;ROUNDUP(MONTH(Table1[[#This Row],[Date]])/3,0)</f>
        <v>Q4</v>
      </c>
    </row>
    <row r="786" spans="1:12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5">
        <v>50</v>
      </c>
      <c r="I786" s="5">
        <v>200</v>
      </c>
      <c r="J786" s="2" t="str">
        <f>TEXT(Table1[[#This Row],[Date]],"mmm")</f>
        <v>Mar</v>
      </c>
      <c r="K786" t="str" cm="1">
        <f t="array" ref="K786">_xlfn.IFS(Table1[[#This Row],[Age]]&lt;25,"18-24",Table1[[#This Row],[Age]]&lt;35,"25-34",Table1[[#This Row],[Age]]&lt;45,"35-44",Table1[[#This Row],[Age]]&lt;55,"45-54",TRUE,"55+")</f>
        <v>25-34</v>
      </c>
      <c r="L786" t="str">
        <f>"Q"&amp;ROUNDUP(MONTH(Table1[[#This Row],[Date]])/3,0)</f>
        <v>Q1</v>
      </c>
    </row>
    <row r="787" spans="1:12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5">
        <v>25</v>
      </c>
      <c r="I787" s="5">
        <v>100</v>
      </c>
      <c r="J787" s="2" t="str">
        <f>TEXT(Table1[[#This Row],[Date]],"mmm")</f>
        <v>Oct</v>
      </c>
      <c r="K787" t="str" cm="1">
        <f t="array" ref="K787">_xlfn.IFS(Table1[[#This Row],[Age]]&lt;25,"18-24",Table1[[#This Row],[Age]]&lt;35,"25-34",Table1[[#This Row],[Age]]&lt;45,"35-44",Table1[[#This Row],[Age]]&lt;55,"45-54",TRUE,"55+")</f>
        <v>45-54</v>
      </c>
      <c r="L787" t="str">
        <f>"Q"&amp;ROUNDUP(MONTH(Table1[[#This Row],[Date]])/3,0)</f>
        <v>Q4</v>
      </c>
    </row>
    <row r="788" spans="1:12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5">
        <v>25</v>
      </c>
      <c r="I788" s="5">
        <v>25</v>
      </c>
      <c r="J788" s="2" t="str">
        <f>TEXT(Table1[[#This Row],[Date]],"mmm")</f>
        <v>Jan</v>
      </c>
      <c r="K788" t="str" cm="1">
        <f t="array" ref="K788">_xlfn.IFS(Table1[[#This Row],[Age]]&lt;25,"18-24",Table1[[#This Row],[Age]]&lt;35,"25-34",Table1[[#This Row],[Age]]&lt;45,"35-44",Table1[[#This Row],[Age]]&lt;55,"45-54",TRUE,"55+")</f>
        <v>35-44</v>
      </c>
      <c r="L788" t="str">
        <f>"Q"&amp;ROUNDUP(MONTH(Table1[[#This Row],[Date]])/3,0)</f>
        <v>Q1</v>
      </c>
    </row>
    <row r="789" spans="1:12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5">
        <v>300</v>
      </c>
      <c r="I789" s="5">
        <v>900</v>
      </c>
      <c r="J789" s="2" t="str">
        <f>TEXT(Table1[[#This Row],[Date]],"mmm")</f>
        <v>Jun</v>
      </c>
      <c r="K789" t="str" cm="1">
        <f t="array" ref="K789">_xlfn.IFS(Table1[[#This Row],[Age]]&lt;25,"18-24",Table1[[#This Row],[Age]]&lt;35,"25-34",Table1[[#This Row],[Age]]&lt;45,"35-44",Table1[[#This Row],[Age]]&lt;55,"45-54",TRUE,"55+")</f>
        <v>45-54</v>
      </c>
      <c r="L789" t="str">
        <f>"Q"&amp;ROUNDUP(MONTH(Table1[[#This Row],[Date]])/3,0)</f>
        <v>Q2</v>
      </c>
    </row>
    <row r="790" spans="1:12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5">
        <v>500</v>
      </c>
      <c r="I790" s="5">
        <v>2000</v>
      </c>
      <c r="J790" s="2" t="str">
        <f>TEXT(Table1[[#This Row],[Date]],"mmm")</f>
        <v>Sep</v>
      </c>
      <c r="K790" t="str" cm="1">
        <f t="array" ref="K790">_xlfn.IFS(Table1[[#This Row],[Age]]&lt;25,"18-24",Table1[[#This Row],[Age]]&lt;35,"25-34",Table1[[#This Row],[Age]]&lt;45,"35-44",Table1[[#This Row],[Age]]&lt;55,"45-54",TRUE,"55+")</f>
        <v>55+</v>
      </c>
      <c r="L790" t="str">
        <f>"Q"&amp;ROUNDUP(MONTH(Table1[[#This Row],[Date]])/3,0)</f>
        <v>Q3</v>
      </c>
    </row>
    <row r="791" spans="1:12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5">
        <v>25</v>
      </c>
      <c r="I791" s="5">
        <v>25</v>
      </c>
      <c r="J791" s="2" t="str">
        <f>TEXT(Table1[[#This Row],[Date]],"mmm")</f>
        <v>Aug</v>
      </c>
      <c r="K791" t="str" cm="1">
        <f t="array" ref="K791">_xlfn.IFS(Table1[[#This Row],[Age]]&lt;25,"18-24",Table1[[#This Row],[Age]]&lt;35,"25-34",Table1[[#This Row],[Age]]&lt;45,"35-44",Table1[[#This Row],[Age]]&lt;55,"45-54",TRUE,"55+")</f>
        <v>55+</v>
      </c>
      <c r="L791" t="str">
        <f>"Q"&amp;ROUNDUP(MONTH(Table1[[#This Row],[Date]])/3,0)</f>
        <v>Q3</v>
      </c>
    </row>
    <row r="792" spans="1:12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5">
        <v>25</v>
      </c>
      <c r="I792" s="5">
        <v>25</v>
      </c>
      <c r="J792" s="2" t="str">
        <f>TEXT(Table1[[#This Row],[Date]],"mmm")</f>
        <v>Dec</v>
      </c>
      <c r="K792" t="str" cm="1">
        <f t="array" ref="K792">_xlfn.IFS(Table1[[#This Row],[Age]]&lt;25,"18-24",Table1[[#This Row],[Age]]&lt;35,"25-34",Table1[[#This Row],[Age]]&lt;45,"35-44",Table1[[#This Row],[Age]]&lt;55,"45-54",TRUE,"55+")</f>
        <v>45-54</v>
      </c>
      <c r="L792" t="str">
        <f>"Q"&amp;ROUNDUP(MONTH(Table1[[#This Row],[Date]])/3,0)</f>
        <v>Q4</v>
      </c>
    </row>
    <row r="793" spans="1:12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5">
        <v>50</v>
      </c>
      <c r="I793" s="5">
        <v>50</v>
      </c>
      <c r="J793" s="2" t="str">
        <f>TEXT(Table1[[#This Row],[Date]],"mmm")</f>
        <v>Jul</v>
      </c>
      <c r="K793" t="str" cm="1">
        <f t="array" ref="K793">_xlfn.IFS(Table1[[#This Row],[Age]]&lt;25,"18-24",Table1[[#This Row],[Age]]&lt;35,"25-34",Table1[[#This Row],[Age]]&lt;45,"35-44",Table1[[#This Row],[Age]]&lt;55,"45-54",TRUE,"55+")</f>
        <v>18-24</v>
      </c>
      <c r="L793" t="str">
        <f>"Q"&amp;ROUNDUP(MONTH(Table1[[#This Row],[Date]])/3,0)</f>
        <v>Q3</v>
      </c>
    </row>
    <row r="794" spans="1:12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5">
        <v>30</v>
      </c>
      <c r="I794" s="5">
        <v>30</v>
      </c>
      <c r="J794" s="2" t="str">
        <f>TEXT(Table1[[#This Row],[Date]],"mmm")</f>
        <v>Feb</v>
      </c>
      <c r="K794" t="str" cm="1">
        <f t="array" ref="K794">_xlfn.IFS(Table1[[#This Row],[Age]]&lt;25,"18-24",Table1[[#This Row],[Age]]&lt;35,"25-34",Table1[[#This Row],[Age]]&lt;45,"35-44",Table1[[#This Row],[Age]]&lt;55,"45-54",TRUE,"55+")</f>
        <v>45-54</v>
      </c>
      <c r="L794" t="str">
        <f>"Q"&amp;ROUNDUP(MONTH(Table1[[#This Row],[Date]])/3,0)</f>
        <v>Q1</v>
      </c>
    </row>
    <row r="795" spans="1:12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5">
        <v>300</v>
      </c>
      <c r="I795" s="5">
        <v>300</v>
      </c>
      <c r="J795" s="2" t="str">
        <f>TEXT(Table1[[#This Row],[Date]],"mmm")</f>
        <v>Sep</v>
      </c>
      <c r="K795" t="str" cm="1">
        <f t="array" ref="K795">_xlfn.IFS(Table1[[#This Row],[Age]]&lt;25,"18-24",Table1[[#This Row],[Age]]&lt;35,"25-34",Table1[[#This Row],[Age]]&lt;45,"35-44",Table1[[#This Row],[Age]]&lt;55,"45-54",TRUE,"55+")</f>
        <v>55+</v>
      </c>
      <c r="L795" t="str">
        <f>"Q"&amp;ROUNDUP(MONTH(Table1[[#This Row],[Date]])/3,0)</f>
        <v>Q3</v>
      </c>
    </row>
    <row r="796" spans="1:12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5">
        <v>300</v>
      </c>
      <c r="I796" s="5">
        <v>300</v>
      </c>
      <c r="J796" s="2" t="str">
        <f>TEXT(Table1[[#This Row],[Date]],"mmm")</f>
        <v>Nov</v>
      </c>
      <c r="K796" t="str" cm="1">
        <f t="array" ref="K796">_xlfn.IFS(Table1[[#This Row],[Age]]&lt;25,"18-24",Table1[[#This Row],[Age]]&lt;35,"25-34",Table1[[#This Row],[Age]]&lt;45,"35-44",Table1[[#This Row],[Age]]&lt;55,"45-54",TRUE,"55+")</f>
        <v>55+</v>
      </c>
      <c r="L796" t="str">
        <f>"Q"&amp;ROUNDUP(MONTH(Table1[[#This Row],[Date]])/3,0)</f>
        <v>Q4</v>
      </c>
    </row>
    <row r="797" spans="1:12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5">
        <v>30</v>
      </c>
      <c r="I797" s="5">
        <v>120</v>
      </c>
      <c r="J797" s="2" t="str">
        <f>TEXT(Table1[[#This Row],[Date]],"mmm")</f>
        <v>Jun</v>
      </c>
      <c r="K797" t="str" cm="1">
        <f t="array" ref="K797">_xlfn.IFS(Table1[[#This Row],[Age]]&lt;25,"18-24",Table1[[#This Row],[Age]]&lt;35,"25-34",Table1[[#This Row],[Age]]&lt;45,"35-44",Table1[[#This Row],[Age]]&lt;55,"45-54",TRUE,"55+")</f>
        <v>35-44</v>
      </c>
      <c r="L797" t="str">
        <f>"Q"&amp;ROUNDUP(MONTH(Table1[[#This Row],[Date]])/3,0)</f>
        <v>Q2</v>
      </c>
    </row>
    <row r="798" spans="1:12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5">
        <v>25</v>
      </c>
      <c r="I798" s="5">
        <v>75</v>
      </c>
      <c r="J798" s="2" t="str">
        <f>TEXT(Table1[[#This Row],[Date]],"mmm")</f>
        <v>Jan</v>
      </c>
      <c r="K798" t="str" cm="1">
        <f t="array" ref="K798">_xlfn.IFS(Table1[[#This Row],[Age]]&lt;25,"18-24",Table1[[#This Row],[Age]]&lt;35,"25-34",Table1[[#This Row],[Age]]&lt;45,"35-44",Table1[[#This Row],[Age]]&lt;55,"45-54",TRUE,"55+")</f>
        <v>35-44</v>
      </c>
      <c r="L798" t="str">
        <f>"Q"&amp;ROUNDUP(MONTH(Table1[[#This Row],[Date]])/3,0)</f>
        <v>Q1</v>
      </c>
    </row>
    <row r="799" spans="1:12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5">
        <v>50</v>
      </c>
      <c r="I799" s="5">
        <v>50</v>
      </c>
      <c r="J799" s="2" t="str">
        <f>TEXT(Table1[[#This Row],[Date]],"mmm")</f>
        <v>Aug</v>
      </c>
      <c r="K799" t="str" cm="1">
        <f t="array" ref="K799">_xlfn.IFS(Table1[[#This Row],[Age]]&lt;25,"18-24",Table1[[#This Row],[Age]]&lt;35,"25-34",Table1[[#This Row],[Age]]&lt;45,"35-44",Table1[[#This Row],[Age]]&lt;55,"45-54",TRUE,"55+")</f>
        <v>55+</v>
      </c>
      <c r="L799" t="str">
        <f>"Q"&amp;ROUNDUP(MONTH(Table1[[#This Row],[Date]])/3,0)</f>
        <v>Q3</v>
      </c>
    </row>
    <row r="800" spans="1:12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5">
        <v>50</v>
      </c>
      <c r="I800" s="5">
        <v>100</v>
      </c>
      <c r="J800" s="2" t="str">
        <f>TEXT(Table1[[#This Row],[Date]],"mmm")</f>
        <v>Sep</v>
      </c>
      <c r="K800" t="str" cm="1">
        <f t="array" ref="K800">_xlfn.IFS(Table1[[#This Row],[Age]]&lt;25,"18-24",Table1[[#This Row],[Age]]&lt;35,"25-34",Table1[[#This Row],[Age]]&lt;45,"35-44",Table1[[#This Row],[Age]]&lt;55,"45-54",TRUE,"55+")</f>
        <v>55+</v>
      </c>
      <c r="L800" t="str">
        <f>"Q"&amp;ROUNDUP(MONTH(Table1[[#This Row],[Date]])/3,0)</f>
        <v>Q3</v>
      </c>
    </row>
    <row r="801" spans="1:12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5">
        <v>300</v>
      </c>
      <c r="I801" s="5">
        <v>1200</v>
      </c>
      <c r="J801" s="2" t="str">
        <f>TEXT(Table1[[#This Row],[Date]],"mmm")</f>
        <v>Feb</v>
      </c>
      <c r="K801" t="str" cm="1">
        <f t="array" ref="K801">_xlfn.IFS(Table1[[#This Row],[Age]]&lt;25,"18-24",Table1[[#This Row],[Age]]&lt;35,"25-34",Table1[[#This Row],[Age]]&lt;45,"35-44",Table1[[#This Row],[Age]]&lt;55,"45-54",TRUE,"55+")</f>
        <v>25-34</v>
      </c>
      <c r="L801" t="str">
        <f>"Q"&amp;ROUNDUP(MONTH(Table1[[#This Row],[Date]])/3,0)</f>
        <v>Q1</v>
      </c>
    </row>
    <row r="802" spans="1:12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5">
        <v>50</v>
      </c>
      <c r="I802" s="5">
        <v>200</v>
      </c>
      <c r="J802" s="2" t="str">
        <f>TEXT(Table1[[#This Row],[Date]],"mmm")</f>
        <v>Aug</v>
      </c>
      <c r="K802" t="str" cm="1">
        <f t="array" ref="K802">_xlfn.IFS(Table1[[#This Row],[Age]]&lt;25,"18-24",Table1[[#This Row],[Age]]&lt;35,"25-34",Table1[[#This Row],[Age]]&lt;45,"35-44",Table1[[#This Row],[Age]]&lt;55,"45-54",TRUE,"55+")</f>
        <v>18-24</v>
      </c>
      <c r="L802" t="str">
        <f>"Q"&amp;ROUNDUP(MONTH(Table1[[#This Row],[Date]])/3,0)</f>
        <v>Q3</v>
      </c>
    </row>
    <row r="803" spans="1:12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5">
        <v>30</v>
      </c>
      <c r="I803" s="5">
        <v>30</v>
      </c>
      <c r="J803" s="2" t="str">
        <f>TEXT(Table1[[#This Row],[Date]],"mmm")</f>
        <v>Jul</v>
      </c>
      <c r="K803" t="str" cm="1">
        <f t="array" ref="K803">_xlfn.IFS(Table1[[#This Row],[Age]]&lt;25,"18-24",Table1[[#This Row],[Age]]&lt;35,"25-34",Table1[[#This Row],[Age]]&lt;45,"35-44",Table1[[#This Row],[Age]]&lt;55,"45-54",TRUE,"55+")</f>
        <v>45-54</v>
      </c>
      <c r="L803" t="str">
        <f>"Q"&amp;ROUNDUP(MONTH(Table1[[#This Row],[Date]])/3,0)</f>
        <v>Q3</v>
      </c>
    </row>
    <row r="804" spans="1:12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5">
        <v>25</v>
      </c>
      <c r="I804" s="5">
        <v>100</v>
      </c>
      <c r="J804" s="2" t="str">
        <f>TEXT(Table1[[#This Row],[Date]],"mmm")</f>
        <v>Nov</v>
      </c>
      <c r="K804" t="str" cm="1">
        <f t="array" ref="K804">_xlfn.IFS(Table1[[#This Row],[Age]]&lt;25,"18-24",Table1[[#This Row],[Age]]&lt;35,"25-34",Table1[[#This Row],[Age]]&lt;45,"35-44",Table1[[#This Row],[Age]]&lt;55,"45-54",TRUE,"55+")</f>
        <v>35-44</v>
      </c>
      <c r="L804" t="str">
        <f>"Q"&amp;ROUNDUP(MONTH(Table1[[#This Row],[Date]])/3,0)</f>
        <v>Q4</v>
      </c>
    </row>
    <row r="805" spans="1:12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5">
        <v>30</v>
      </c>
      <c r="I805" s="5">
        <v>30</v>
      </c>
      <c r="J805" s="2" t="str">
        <f>TEXT(Table1[[#This Row],[Date]],"mmm")</f>
        <v>Aug</v>
      </c>
      <c r="K805" t="str" cm="1">
        <f t="array" ref="K805">_xlfn.IFS(Table1[[#This Row],[Age]]&lt;25,"18-24",Table1[[#This Row],[Age]]&lt;35,"25-34",Table1[[#This Row],[Age]]&lt;45,"35-44",Table1[[#This Row],[Age]]&lt;55,"45-54",TRUE,"55+")</f>
        <v>35-44</v>
      </c>
      <c r="L805" t="str">
        <f>"Q"&amp;ROUNDUP(MONTH(Table1[[#This Row],[Date]])/3,0)</f>
        <v>Q3</v>
      </c>
    </row>
    <row r="806" spans="1:12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5">
        <v>500</v>
      </c>
      <c r="I806" s="5">
        <v>1500</v>
      </c>
      <c r="J806" s="2" t="str">
        <f>TEXT(Table1[[#This Row],[Date]],"mmm")</f>
        <v>Dec</v>
      </c>
      <c r="K806" t="str" cm="1">
        <f t="array" ref="K806">_xlfn.IFS(Table1[[#This Row],[Age]]&lt;25,"18-24",Table1[[#This Row],[Age]]&lt;35,"25-34",Table1[[#This Row],[Age]]&lt;45,"35-44",Table1[[#This Row],[Age]]&lt;55,"45-54",TRUE,"55+")</f>
        <v>25-34</v>
      </c>
      <c r="L806" t="str">
        <f>"Q"&amp;ROUNDUP(MONTH(Table1[[#This Row],[Date]])/3,0)</f>
        <v>Q4</v>
      </c>
    </row>
    <row r="807" spans="1:12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5">
        <v>300</v>
      </c>
      <c r="I807" s="5">
        <v>900</v>
      </c>
      <c r="J807" s="2" t="str">
        <f>TEXT(Table1[[#This Row],[Date]],"mmm")</f>
        <v>Mar</v>
      </c>
      <c r="K807" t="str" cm="1">
        <f t="array" ref="K807">_xlfn.IFS(Table1[[#This Row],[Age]]&lt;25,"18-24",Table1[[#This Row],[Age]]&lt;35,"25-34",Table1[[#This Row],[Age]]&lt;45,"35-44",Table1[[#This Row],[Age]]&lt;55,"45-54",TRUE,"55+")</f>
        <v>35-44</v>
      </c>
      <c r="L807" t="str">
        <f>"Q"&amp;ROUNDUP(MONTH(Table1[[#This Row],[Date]])/3,0)</f>
        <v>Q1</v>
      </c>
    </row>
    <row r="808" spans="1:12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5">
        <v>50</v>
      </c>
      <c r="I808" s="5">
        <v>200</v>
      </c>
      <c r="J808" s="2" t="str">
        <f>TEXT(Table1[[#This Row],[Date]],"mmm")</f>
        <v>Aug</v>
      </c>
      <c r="K808" t="str" cm="1">
        <f t="array" ref="K808">_xlfn.IFS(Table1[[#This Row],[Age]]&lt;25,"18-24",Table1[[#This Row],[Age]]&lt;35,"25-34",Table1[[#This Row],[Age]]&lt;45,"35-44",Table1[[#This Row],[Age]]&lt;55,"45-54",TRUE,"55+")</f>
        <v>45-54</v>
      </c>
      <c r="L808" t="str">
        <f>"Q"&amp;ROUNDUP(MONTH(Table1[[#This Row],[Date]])/3,0)</f>
        <v>Q3</v>
      </c>
    </row>
    <row r="809" spans="1:12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5">
        <v>500</v>
      </c>
      <c r="I809" s="5">
        <v>2000</v>
      </c>
      <c r="J809" s="2" t="str">
        <f>TEXT(Table1[[#This Row],[Date]],"mmm")</f>
        <v>Apr</v>
      </c>
      <c r="K809" t="str" cm="1">
        <f t="array" ref="K809">_xlfn.IFS(Table1[[#This Row],[Age]]&lt;25,"18-24",Table1[[#This Row],[Age]]&lt;35,"25-34",Table1[[#This Row],[Age]]&lt;45,"35-44",Table1[[#This Row],[Age]]&lt;55,"45-54",TRUE,"55+")</f>
        <v>25-34</v>
      </c>
      <c r="L809" t="str">
        <f>"Q"&amp;ROUNDUP(MONTH(Table1[[#This Row],[Date]])/3,0)</f>
        <v>Q2</v>
      </c>
    </row>
    <row r="810" spans="1:12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5">
        <v>50</v>
      </c>
      <c r="I810" s="5">
        <v>100</v>
      </c>
      <c r="J810" s="2" t="str">
        <f>TEXT(Table1[[#This Row],[Date]],"mmm")</f>
        <v>Sep</v>
      </c>
      <c r="K810" t="str" cm="1">
        <f t="array" ref="K810">_xlfn.IFS(Table1[[#This Row],[Age]]&lt;25,"18-24",Table1[[#This Row],[Age]]&lt;35,"25-34",Table1[[#This Row],[Age]]&lt;45,"35-44",Table1[[#This Row],[Age]]&lt;55,"45-54",TRUE,"55+")</f>
        <v>55+</v>
      </c>
      <c r="L810" t="str">
        <f>"Q"&amp;ROUNDUP(MONTH(Table1[[#This Row],[Date]])/3,0)</f>
        <v>Q3</v>
      </c>
    </row>
    <row r="811" spans="1:12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5">
        <v>25</v>
      </c>
      <c r="I811" s="5">
        <v>100</v>
      </c>
      <c r="J811" s="2" t="str">
        <f>TEXT(Table1[[#This Row],[Date]],"mmm")</f>
        <v>Nov</v>
      </c>
      <c r="K811" t="str" cm="1">
        <f t="array" ref="K811">_xlfn.IFS(Table1[[#This Row],[Age]]&lt;25,"18-24",Table1[[#This Row],[Age]]&lt;35,"25-34",Table1[[#This Row],[Age]]&lt;45,"35-44",Table1[[#This Row],[Age]]&lt;55,"45-54",TRUE,"55+")</f>
        <v>55+</v>
      </c>
      <c r="L811" t="str">
        <f>"Q"&amp;ROUNDUP(MONTH(Table1[[#This Row],[Date]])/3,0)</f>
        <v>Q4</v>
      </c>
    </row>
    <row r="812" spans="1:12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5">
        <v>25</v>
      </c>
      <c r="I812" s="5">
        <v>50</v>
      </c>
      <c r="J812" s="2" t="str">
        <f>TEXT(Table1[[#This Row],[Date]],"mmm")</f>
        <v>May</v>
      </c>
      <c r="K812" t="str" cm="1">
        <f t="array" ref="K812">_xlfn.IFS(Table1[[#This Row],[Age]]&lt;25,"18-24",Table1[[#This Row],[Age]]&lt;35,"25-34",Table1[[#This Row],[Age]]&lt;45,"35-44",Table1[[#This Row],[Age]]&lt;55,"45-54",TRUE,"55+")</f>
        <v>55+</v>
      </c>
      <c r="L812" t="str">
        <f>"Q"&amp;ROUNDUP(MONTH(Table1[[#This Row],[Date]])/3,0)</f>
        <v>Q2</v>
      </c>
    </row>
    <row r="813" spans="1:12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5">
        <v>25</v>
      </c>
      <c r="I813" s="5">
        <v>75</v>
      </c>
      <c r="J813" s="2" t="str">
        <f>TEXT(Table1[[#This Row],[Date]],"mmm")</f>
        <v>Nov</v>
      </c>
      <c r="K813" t="str" cm="1">
        <f t="array" ref="K813">_xlfn.IFS(Table1[[#This Row],[Age]]&lt;25,"18-24",Table1[[#This Row],[Age]]&lt;35,"25-34",Table1[[#This Row],[Age]]&lt;45,"35-44",Table1[[#This Row],[Age]]&lt;55,"45-54",TRUE,"55+")</f>
        <v>18-24</v>
      </c>
      <c r="L813" t="str">
        <f>"Q"&amp;ROUNDUP(MONTH(Table1[[#This Row],[Date]])/3,0)</f>
        <v>Q4</v>
      </c>
    </row>
    <row r="814" spans="1:12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5">
        <v>50</v>
      </c>
      <c r="I814" s="5">
        <v>150</v>
      </c>
      <c r="J814" s="2" t="str">
        <f>TEXT(Table1[[#This Row],[Date]],"mmm")</f>
        <v>Oct</v>
      </c>
      <c r="K814" t="str" cm="1">
        <f t="array" ref="K814">_xlfn.IFS(Table1[[#This Row],[Age]]&lt;25,"18-24",Table1[[#This Row],[Age]]&lt;35,"25-34",Table1[[#This Row],[Age]]&lt;45,"35-44",Table1[[#This Row],[Age]]&lt;55,"45-54",TRUE,"55+")</f>
        <v>45-54</v>
      </c>
      <c r="L814" t="str">
        <f>"Q"&amp;ROUNDUP(MONTH(Table1[[#This Row],[Date]])/3,0)</f>
        <v>Q4</v>
      </c>
    </row>
    <row r="815" spans="1:12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5">
        <v>500</v>
      </c>
      <c r="I815" s="5">
        <v>500</v>
      </c>
      <c r="J815" s="2" t="str">
        <f>TEXT(Table1[[#This Row],[Date]],"mmm")</f>
        <v>Sep</v>
      </c>
      <c r="K815" t="str" cm="1">
        <f t="array" ref="K815">_xlfn.IFS(Table1[[#This Row],[Age]]&lt;25,"18-24",Table1[[#This Row],[Age]]&lt;35,"25-34",Table1[[#This Row],[Age]]&lt;45,"35-44",Table1[[#This Row],[Age]]&lt;55,"45-54",TRUE,"55+")</f>
        <v>55+</v>
      </c>
      <c r="L815" t="str">
        <f>"Q"&amp;ROUNDUP(MONTH(Table1[[#This Row],[Date]])/3,0)</f>
        <v>Q3</v>
      </c>
    </row>
    <row r="816" spans="1:12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5">
        <v>25</v>
      </c>
      <c r="I816" s="5">
        <v>75</v>
      </c>
      <c r="J816" s="2" t="str">
        <f>TEXT(Table1[[#This Row],[Date]],"mmm")</f>
        <v>Aug</v>
      </c>
      <c r="K816" t="str" cm="1">
        <f t="array" ref="K816">_xlfn.IFS(Table1[[#This Row],[Age]]&lt;25,"18-24",Table1[[#This Row],[Age]]&lt;35,"25-34",Table1[[#This Row],[Age]]&lt;45,"35-44",Table1[[#This Row],[Age]]&lt;55,"45-54",TRUE,"55+")</f>
        <v>45-54</v>
      </c>
      <c r="L816" t="str">
        <f>"Q"&amp;ROUNDUP(MONTH(Table1[[#This Row],[Date]])/3,0)</f>
        <v>Q3</v>
      </c>
    </row>
    <row r="817" spans="1:12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5">
        <v>500</v>
      </c>
      <c r="I817" s="5">
        <v>1000</v>
      </c>
      <c r="J817" s="2" t="str">
        <f>TEXT(Table1[[#This Row],[Date]],"mmm")</f>
        <v>Aug</v>
      </c>
      <c r="K817" t="str" cm="1">
        <f t="array" ref="K817">_xlfn.IFS(Table1[[#This Row],[Age]]&lt;25,"18-24",Table1[[#This Row],[Age]]&lt;35,"25-34",Table1[[#This Row],[Age]]&lt;45,"35-44",Table1[[#This Row],[Age]]&lt;55,"45-54",TRUE,"55+")</f>
        <v>45-54</v>
      </c>
      <c r="L817" t="str">
        <f>"Q"&amp;ROUNDUP(MONTH(Table1[[#This Row],[Date]])/3,0)</f>
        <v>Q3</v>
      </c>
    </row>
    <row r="818" spans="1:12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5">
        <v>50</v>
      </c>
      <c r="I818" s="5">
        <v>200</v>
      </c>
      <c r="J818" s="2" t="str">
        <f>TEXT(Table1[[#This Row],[Date]],"mmm")</f>
        <v>Oct</v>
      </c>
      <c r="K818" t="str" cm="1">
        <f t="array" ref="K818">_xlfn.IFS(Table1[[#This Row],[Age]]&lt;25,"18-24",Table1[[#This Row],[Age]]&lt;35,"25-34",Table1[[#This Row],[Age]]&lt;45,"35-44",Table1[[#This Row],[Age]]&lt;55,"45-54",TRUE,"55+")</f>
        <v>25-34</v>
      </c>
      <c r="L818" t="str">
        <f>"Q"&amp;ROUNDUP(MONTH(Table1[[#This Row],[Date]])/3,0)</f>
        <v>Q4</v>
      </c>
    </row>
    <row r="819" spans="1:12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5">
        <v>500</v>
      </c>
      <c r="I819" s="5">
        <v>500</v>
      </c>
      <c r="J819" s="2" t="str">
        <f>TEXT(Table1[[#This Row],[Date]],"mmm")</f>
        <v>May</v>
      </c>
      <c r="K819" t="str" cm="1">
        <f t="array" ref="K819">_xlfn.IFS(Table1[[#This Row],[Age]]&lt;25,"18-24",Table1[[#This Row],[Age]]&lt;35,"25-34",Table1[[#This Row],[Age]]&lt;45,"35-44",Table1[[#This Row],[Age]]&lt;55,"45-54",TRUE,"55+")</f>
        <v>25-34</v>
      </c>
      <c r="L819" t="str">
        <f>"Q"&amp;ROUNDUP(MONTH(Table1[[#This Row],[Date]])/3,0)</f>
        <v>Q2</v>
      </c>
    </row>
    <row r="820" spans="1:12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5">
        <v>50</v>
      </c>
      <c r="I820" s="5">
        <v>100</v>
      </c>
      <c r="J820" s="2" t="str">
        <f>TEXT(Table1[[#This Row],[Date]],"mmm")</f>
        <v>Jun</v>
      </c>
      <c r="K820" t="str" cm="1">
        <f t="array" ref="K820">_xlfn.IFS(Table1[[#This Row],[Age]]&lt;25,"18-24",Table1[[#This Row],[Age]]&lt;35,"25-34",Table1[[#This Row],[Age]]&lt;45,"35-44",Table1[[#This Row],[Age]]&lt;55,"45-54",TRUE,"55+")</f>
        <v>35-44</v>
      </c>
      <c r="L820" t="str">
        <f>"Q"&amp;ROUNDUP(MONTH(Table1[[#This Row],[Date]])/3,0)</f>
        <v>Q2</v>
      </c>
    </row>
    <row r="821" spans="1:12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5">
        <v>50</v>
      </c>
      <c r="I821" s="5">
        <v>200</v>
      </c>
      <c r="J821" s="2" t="str">
        <f>TEXT(Table1[[#This Row],[Date]],"mmm")</f>
        <v>May</v>
      </c>
      <c r="K821" t="str" cm="1">
        <f t="array" ref="K821">_xlfn.IFS(Table1[[#This Row],[Age]]&lt;25,"18-24",Table1[[#This Row],[Age]]&lt;35,"25-34",Table1[[#This Row],[Age]]&lt;45,"35-44",Table1[[#This Row],[Age]]&lt;55,"45-54",TRUE,"55+")</f>
        <v>45-54</v>
      </c>
      <c r="L821" t="str">
        <f>"Q"&amp;ROUNDUP(MONTH(Table1[[#This Row],[Date]])/3,0)</f>
        <v>Q2</v>
      </c>
    </row>
    <row r="822" spans="1:12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5">
        <v>300</v>
      </c>
      <c r="I822" s="5">
        <v>300</v>
      </c>
      <c r="J822" s="2" t="str">
        <f>TEXT(Table1[[#This Row],[Date]],"mmm")</f>
        <v>Feb</v>
      </c>
      <c r="K822" t="str" cm="1">
        <f t="array" ref="K822">_xlfn.IFS(Table1[[#This Row],[Age]]&lt;25,"18-24",Table1[[#This Row],[Age]]&lt;35,"25-34",Table1[[#This Row],[Age]]&lt;45,"35-44",Table1[[#This Row],[Age]]&lt;55,"45-54",TRUE,"55+")</f>
        <v>45-54</v>
      </c>
      <c r="L822" t="str">
        <f>"Q"&amp;ROUNDUP(MONTH(Table1[[#This Row],[Date]])/3,0)</f>
        <v>Q1</v>
      </c>
    </row>
    <row r="823" spans="1:12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5">
        <v>50</v>
      </c>
      <c r="I823" s="5">
        <v>150</v>
      </c>
      <c r="J823" s="2" t="str">
        <f>TEXT(Table1[[#This Row],[Date]],"mmm")</f>
        <v>May</v>
      </c>
      <c r="K823" t="str" cm="1">
        <f t="array" ref="K823">_xlfn.IFS(Table1[[#This Row],[Age]]&lt;25,"18-24",Table1[[#This Row],[Age]]&lt;35,"25-34",Table1[[#This Row],[Age]]&lt;45,"35-44",Table1[[#This Row],[Age]]&lt;55,"45-54",TRUE,"55+")</f>
        <v>45-54</v>
      </c>
      <c r="L823" t="str">
        <f>"Q"&amp;ROUNDUP(MONTH(Table1[[#This Row],[Date]])/3,0)</f>
        <v>Q2</v>
      </c>
    </row>
    <row r="824" spans="1:12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5">
        <v>50</v>
      </c>
      <c r="I824" s="5">
        <v>100</v>
      </c>
      <c r="J824" s="2" t="str">
        <f>TEXT(Table1[[#This Row],[Date]],"mmm")</f>
        <v>Aug</v>
      </c>
      <c r="K824" t="str" cm="1">
        <f t="array" ref="K824">_xlfn.IFS(Table1[[#This Row],[Age]]&lt;25,"18-24",Table1[[#This Row],[Age]]&lt;35,"25-34",Table1[[#This Row],[Age]]&lt;45,"35-44",Table1[[#This Row],[Age]]&lt;55,"45-54",TRUE,"55+")</f>
        <v>55+</v>
      </c>
      <c r="L824" t="str">
        <f>"Q"&amp;ROUNDUP(MONTH(Table1[[#This Row],[Date]])/3,0)</f>
        <v>Q3</v>
      </c>
    </row>
    <row r="825" spans="1:12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5">
        <v>30</v>
      </c>
      <c r="I825" s="5">
        <v>120</v>
      </c>
      <c r="J825" s="2" t="str">
        <f>TEXT(Table1[[#This Row],[Date]],"mmm")</f>
        <v>May</v>
      </c>
      <c r="K825" t="str" cm="1">
        <f t="array" ref="K825">_xlfn.IFS(Table1[[#This Row],[Age]]&lt;25,"18-24",Table1[[#This Row],[Age]]&lt;35,"25-34",Table1[[#This Row],[Age]]&lt;45,"35-44",Table1[[#This Row],[Age]]&lt;55,"45-54",TRUE,"55+")</f>
        <v>55+</v>
      </c>
      <c r="L825" t="str">
        <f>"Q"&amp;ROUNDUP(MONTH(Table1[[#This Row],[Date]])/3,0)</f>
        <v>Q2</v>
      </c>
    </row>
    <row r="826" spans="1:12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5">
        <v>25</v>
      </c>
      <c r="I826" s="5">
        <v>25</v>
      </c>
      <c r="J826" s="2" t="str">
        <f>TEXT(Table1[[#This Row],[Date]],"mmm")</f>
        <v>Aug</v>
      </c>
      <c r="K826" t="str" cm="1">
        <f t="array" ref="K826">_xlfn.IFS(Table1[[#This Row],[Age]]&lt;25,"18-24",Table1[[#This Row],[Age]]&lt;35,"25-34",Table1[[#This Row],[Age]]&lt;45,"35-44",Table1[[#This Row],[Age]]&lt;55,"45-54",TRUE,"55+")</f>
        <v>45-54</v>
      </c>
      <c r="L826" t="str">
        <f>"Q"&amp;ROUNDUP(MONTH(Table1[[#This Row],[Date]])/3,0)</f>
        <v>Q3</v>
      </c>
    </row>
    <row r="827" spans="1:12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5">
        <v>300</v>
      </c>
      <c r="I827" s="5">
        <v>300</v>
      </c>
      <c r="J827" s="2" t="str">
        <f>TEXT(Table1[[#This Row],[Date]],"mmm")</f>
        <v>Oct</v>
      </c>
      <c r="K827" t="str" cm="1">
        <f t="array" ref="K827">_xlfn.IFS(Table1[[#This Row],[Age]]&lt;25,"18-24",Table1[[#This Row],[Age]]&lt;35,"25-34",Table1[[#This Row],[Age]]&lt;45,"35-44",Table1[[#This Row],[Age]]&lt;55,"45-54",TRUE,"55+")</f>
        <v>45-54</v>
      </c>
      <c r="L827" t="str">
        <f>"Q"&amp;ROUNDUP(MONTH(Table1[[#This Row],[Date]])/3,0)</f>
        <v>Q4</v>
      </c>
    </row>
    <row r="828" spans="1:12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5">
        <v>300</v>
      </c>
      <c r="I828" s="5">
        <v>900</v>
      </c>
      <c r="J828" s="2" t="str">
        <f>TEXT(Table1[[#This Row],[Date]],"mmm")</f>
        <v>Nov</v>
      </c>
      <c r="K828" t="str" cm="1">
        <f t="array" ref="K828">_xlfn.IFS(Table1[[#This Row],[Age]]&lt;25,"18-24",Table1[[#This Row],[Age]]&lt;35,"25-34",Table1[[#This Row],[Age]]&lt;45,"35-44",Table1[[#This Row],[Age]]&lt;55,"45-54",TRUE,"55+")</f>
        <v>55+</v>
      </c>
      <c r="L828" t="str">
        <f>"Q"&amp;ROUNDUP(MONTH(Table1[[#This Row],[Date]])/3,0)</f>
        <v>Q4</v>
      </c>
    </row>
    <row r="829" spans="1:12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5">
        <v>300</v>
      </c>
      <c r="I829" s="5">
        <v>1200</v>
      </c>
      <c r="J829" s="2" t="str">
        <f>TEXT(Table1[[#This Row],[Date]],"mmm")</f>
        <v>Dec</v>
      </c>
      <c r="K829" t="str" cm="1">
        <f t="array" ref="K829">_xlfn.IFS(Table1[[#This Row],[Age]]&lt;25,"18-24",Table1[[#This Row],[Age]]&lt;35,"25-34",Table1[[#This Row],[Age]]&lt;45,"35-44",Table1[[#This Row],[Age]]&lt;55,"45-54",TRUE,"55+")</f>
        <v>25-34</v>
      </c>
      <c r="L829" t="str">
        <f>"Q"&amp;ROUNDUP(MONTH(Table1[[#This Row],[Date]])/3,0)</f>
        <v>Q4</v>
      </c>
    </row>
    <row r="830" spans="1:12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5">
        <v>30</v>
      </c>
      <c r="I830" s="5">
        <v>90</v>
      </c>
      <c r="J830" s="2" t="str">
        <f>TEXT(Table1[[#This Row],[Date]],"mmm")</f>
        <v>Jul</v>
      </c>
      <c r="K830" t="str" cm="1">
        <f t="array" ref="K830">_xlfn.IFS(Table1[[#This Row],[Age]]&lt;25,"18-24",Table1[[#This Row],[Age]]&lt;35,"25-34",Table1[[#This Row],[Age]]&lt;45,"35-44",Table1[[#This Row],[Age]]&lt;55,"45-54",TRUE,"55+")</f>
        <v>55+</v>
      </c>
      <c r="L830" t="str">
        <f>"Q"&amp;ROUNDUP(MONTH(Table1[[#This Row],[Date]])/3,0)</f>
        <v>Q3</v>
      </c>
    </row>
    <row r="831" spans="1:12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5">
        <v>50</v>
      </c>
      <c r="I831" s="5">
        <v>150</v>
      </c>
      <c r="J831" s="2" t="str">
        <f>TEXT(Table1[[#This Row],[Date]],"mmm")</f>
        <v>Jun</v>
      </c>
      <c r="K831" t="str" cm="1">
        <f t="array" ref="K831">_xlfn.IFS(Table1[[#This Row],[Age]]&lt;25,"18-24",Table1[[#This Row],[Age]]&lt;35,"25-34",Table1[[#This Row],[Age]]&lt;45,"35-44",Table1[[#This Row],[Age]]&lt;55,"45-54",TRUE,"55+")</f>
        <v>55+</v>
      </c>
      <c r="L831" t="str">
        <f>"Q"&amp;ROUNDUP(MONTH(Table1[[#This Row],[Date]])/3,0)</f>
        <v>Q2</v>
      </c>
    </row>
    <row r="832" spans="1:12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5">
        <v>25</v>
      </c>
      <c r="I832" s="5">
        <v>100</v>
      </c>
      <c r="J832" s="2" t="str">
        <f>TEXT(Table1[[#This Row],[Date]],"mmm")</f>
        <v>Jan</v>
      </c>
      <c r="K832" t="str" cm="1">
        <f t="array" ref="K832">_xlfn.IFS(Table1[[#This Row],[Age]]&lt;25,"18-24",Table1[[#This Row],[Age]]&lt;35,"25-34",Table1[[#This Row],[Age]]&lt;45,"35-44",Table1[[#This Row],[Age]]&lt;55,"45-54",TRUE,"55+")</f>
        <v>25-34</v>
      </c>
      <c r="L832" t="str">
        <f>"Q"&amp;ROUNDUP(MONTH(Table1[[#This Row],[Date]])/3,0)</f>
        <v>Q1</v>
      </c>
    </row>
    <row r="833" spans="1:12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5">
        <v>500</v>
      </c>
      <c r="I833" s="5">
        <v>2000</v>
      </c>
      <c r="J833" s="2" t="str">
        <f>TEXT(Table1[[#This Row],[Date]],"mmm")</f>
        <v>Sep</v>
      </c>
      <c r="K833" t="str" cm="1">
        <f t="array" ref="K833">_xlfn.IFS(Table1[[#This Row],[Age]]&lt;25,"18-24",Table1[[#This Row],[Age]]&lt;35,"25-34",Table1[[#This Row],[Age]]&lt;45,"35-44",Table1[[#This Row],[Age]]&lt;55,"45-54",TRUE,"55+")</f>
        <v>45-54</v>
      </c>
      <c r="L833" t="str">
        <f>"Q"&amp;ROUNDUP(MONTH(Table1[[#This Row],[Date]])/3,0)</f>
        <v>Q3</v>
      </c>
    </row>
    <row r="834" spans="1:12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5">
        <v>50</v>
      </c>
      <c r="I834" s="5">
        <v>200</v>
      </c>
      <c r="J834" s="2" t="str">
        <f>TEXT(Table1[[#This Row],[Date]],"mmm")</f>
        <v>Jun</v>
      </c>
      <c r="K834" t="str" cm="1">
        <f t="array" ref="K834">_xlfn.IFS(Table1[[#This Row],[Age]]&lt;25,"18-24",Table1[[#This Row],[Age]]&lt;35,"25-34",Table1[[#This Row],[Age]]&lt;45,"35-44",Table1[[#This Row],[Age]]&lt;55,"45-54",TRUE,"55+")</f>
        <v>35-44</v>
      </c>
      <c r="L834" t="str">
        <f>"Q"&amp;ROUNDUP(MONTH(Table1[[#This Row],[Date]])/3,0)</f>
        <v>Q2</v>
      </c>
    </row>
    <row r="835" spans="1:12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5">
        <v>30</v>
      </c>
      <c r="I835" s="5">
        <v>60</v>
      </c>
      <c r="J835" s="2" t="str">
        <f>TEXT(Table1[[#This Row],[Date]],"mmm")</f>
        <v>Apr</v>
      </c>
      <c r="K835" t="str" cm="1">
        <f t="array" ref="K835">_xlfn.IFS(Table1[[#This Row],[Age]]&lt;25,"18-24",Table1[[#This Row],[Age]]&lt;35,"25-34",Table1[[#This Row],[Age]]&lt;45,"35-44",Table1[[#This Row],[Age]]&lt;55,"45-54",TRUE,"55+")</f>
        <v>55+</v>
      </c>
      <c r="L835" t="str">
        <f>"Q"&amp;ROUNDUP(MONTH(Table1[[#This Row],[Date]])/3,0)</f>
        <v>Q2</v>
      </c>
    </row>
    <row r="836" spans="1:12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5">
        <v>50</v>
      </c>
      <c r="I836" s="5">
        <v>200</v>
      </c>
      <c r="J836" s="2" t="str">
        <f>TEXT(Table1[[#This Row],[Date]],"mmm")</f>
        <v>Sep</v>
      </c>
      <c r="K836" t="str" cm="1">
        <f t="array" ref="K836">_xlfn.IFS(Table1[[#This Row],[Age]]&lt;25,"18-24",Table1[[#This Row],[Age]]&lt;35,"25-34",Table1[[#This Row],[Age]]&lt;45,"35-44",Table1[[#This Row],[Age]]&lt;55,"45-54",TRUE,"55+")</f>
        <v>35-44</v>
      </c>
      <c r="L836" t="str">
        <f>"Q"&amp;ROUNDUP(MONTH(Table1[[#This Row],[Date]])/3,0)</f>
        <v>Q3</v>
      </c>
    </row>
    <row r="837" spans="1:12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5">
        <v>50</v>
      </c>
      <c r="I837" s="5">
        <v>50</v>
      </c>
      <c r="J837" s="2" t="str">
        <f>TEXT(Table1[[#This Row],[Date]],"mmm")</f>
        <v>Apr</v>
      </c>
      <c r="K837" t="str" cm="1">
        <f t="array" ref="K837">_xlfn.IFS(Table1[[#This Row],[Age]]&lt;25,"18-24",Table1[[#This Row],[Age]]&lt;35,"25-34",Table1[[#This Row],[Age]]&lt;45,"35-44",Table1[[#This Row],[Age]]&lt;55,"45-54",TRUE,"55+")</f>
        <v>18-24</v>
      </c>
      <c r="L837" t="str">
        <f>"Q"&amp;ROUNDUP(MONTH(Table1[[#This Row],[Date]])/3,0)</f>
        <v>Q2</v>
      </c>
    </row>
    <row r="838" spans="1:12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5">
        <v>30</v>
      </c>
      <c r="I838" s="5">
        <v>90</v>
      </c>
      <c r="J838" s="2" t="str">
        <f>TEXT(Table1[[#This Row],[Date]],"mmm")</f>
        <v>Jul</v>
      </c>
      <c r="K838" t="str" cm="1">
        <f t="array" ref="K838">_xlfn.IFS(Table1[[#This Row],[Age]]&lt;25,"18-24",Table1[[#This Row],[Age]]&lt;35,"25-34",Table1[[#This Row],[Age]]&lt;45,"35-44",Table1[[#This Row],[Age]]&lt;55,"45-54",TRUE,"55+")</f>
        <v>18-24</v>
      </c>
      <c r="L838" t="str">
        <f>"Q"&amp;ROUNDUP(MONTH(Table1[[#This Row],[Date]])/3,0)</f>
        <v>Q3</v>
      </c>
    </row>
    <row r="839" spans="1:12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5">
        <v>300</v>
      </c>
      <c r="I839" s="5">
        <v>600</v>
      </c>
      <c r="J839" s="2" t="str">
        <f>TEXT(Table1[[#This Row],[Date]],"mmm")</f>
        <v>May</v>
      </c>
      <c r="K839" t="str" cm="1">
        <f t="array" ref="K839">_xlfn.IFS(Table1[[#This Row],[Age]]&lt;25,"18-24",Table1[[#This Row],[Age]]&lt;35,"25-34",Table1[[#This Row],[Age]]&lt;45,"35-44",Table1[[#This Row],[Age]]&lt;55,"45-54",TRUE,"55+")</f>
        <v>45-54</v>
      </c>
      <c r="L839" t="str">
        <f>"Q"&amp;ROUNDUP(MONTH(Table1[[#This Row],[Date]])/3,0)</f>
        <v>Q2</v>
      </c>
    </row>
    <row r="840" spans="1:12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5">
        <v>300</v>
      </c>
      <c r="I840" s="5">
        <v>1200</v>
      </c>
      <c r="J840" s="2" t="str">
        <f>TEXT(Table1[[#This Row],[Date]],"mmm")</f>
        <v>Jun</v>
      </c>
      <c r="K840" t="str" cm="1">
        <f t="array" ref="K840">_xlfn.IFS(Table1[[#This Row],[Age]]&lt;25,"18-24",Table1[[#This Row],[Age]]&lt;35,"25-34",Table1[[#This Row],[Age]]&lt;45,"35-44",Table1[[#This Row],[Age]]&lt;55,"45-54",TRUE,"55+")</f>
        <v>18-24</v>
      </c>
      <c r="L840" t="str">
        <f>"Q"&amp;ROUNDUP(MONTH(Table1[[#This Row],[Date]])/3,0)</f>
        <v>Q2</v>
      </c>
    </row>
    <row r="841" spans="1:12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5">
        <v>25</v>
      </c>
      <c r="I841" s="5">
        <v>50</v>
      </c>
      <c r="J841" s="2" t="str">
        <f>TEXT(Table1[[#This Row],[Date]],"mmm")</f>
        <v>May</v>
      </c>
      <c r="K841" t="str" cm="1">
        <f t="array" ref="K841">_xlfn.IFS(Table1[[#This Row],[Age]]&lt;25,"18-24",Table1[[#This Row],[Age]]&lt;35,"25-34",Table1[[#This Row],[Age]]&lt;45,"35-44",Table1[[#This Row],[Age]]&lt;55,"45-54",TRUE,"55+")</f>
        <v>55+</v>
      </c>
      <c r="L841" t="str">
        <f>"Q"&amp;ROUNDUP(MONTH(Table1[[#This Row],[Date]])/3,0)</f>
        <v>Q2</v>
      </c>
    </row>
    <row r="842" spans="1:12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5">
        <v>25</v>
      </c>
      <c r="I842" s="5">
        <v>100</v>
      </c>
      <c r="J842" s="2" t="str">
        <f>TEXT(Table1[[#This Row],[Date]],"mmm")</f>
        <v>Nov</v>
      </c>
      <c r="K842" t="str" cm="1">
        <f t="array" ref="K842">_xlfn.IFS(Table1[[#This Row],[Age]]&lt;25,"18-24",Table1[[#This Row],[Age]]&lt;35,"25-34",Table1[[#This Row],[Age]]&lt;45,"35-44",Table1[[#This Row],[Age]]&lt;55,"45-54",TRUE,"55+")</f>
        <v>25-34</v>
      </c>
      <c r="L842" t="str">
        <f>"Q"&amp;ROUNDUP(MONTH(Table1[[#This Row],[Date]])/3,0)</f>
        <v>Q4</v>
      </c>
    </row>
    <row r="843" spans="1:12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5">
        <v>300</v>
      </c>
      <c r="I843" s="5">
        <v>600</v>
      </c>
      <c r="J843" s="2" t="str">
        <f>TEXT(Table1[[#This Row],[Date]],"mmm")</f>
        <v>Dec</v>
      </c>
      <c r="K843" t="str" cm="1">
        <f t="array" ref="K843">_xlfn.IFS(Table1[[#This Row],[Age]]&lt;25,"18-24",Table1[[#This Row],[Age]]&lt;35,"25-34",Table1[[#This Row],[Age]]&lt;45,"35-44",Table1[[#This Row],[Age]]&lt;55,"45-54",TRUE,"55+")</f>
        <v>45-54</v>
      </c>
      <c r="L843" t="str">
        <f>"Q"&amp;ROUNDUP(MONTH(Table1[[#This Row],[Date]])/3,0)</f>
        <v>Q4</v>
      </c>
    </row>
    <row r="844" spans="1:12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5">
        <v>500</v>
      </c>
      <c r="I844" s="5">
        <v>1500</v>
      </c>
      <c r="J844" s="2" t="str">
        <f>TEXT(Table1[[#This Row],[Date]],"mmm")</f>
        <v>May</v>
      </c>
      <c r="K844" t="str" cm="1">
        <f t="array" ref="K844">_xlfn.IFS(Table1[[#This Row],[Age]]&lt;25,"18-24",Table1[[#This Row],[Age]]&lt;35,"25-34",Table1[[#This Row],[Age]]&lt;45,"35-44",Table1[[#This Row],[Age]]&lt;55,"45-54",TRUE,"55+")</f>
        <v>18-24</v>
      </c>
      <c r="L844" t="str">
        <f>"Q"&amp;ROUNDUP(MONTH(Table1[[#This Row],[Date]])/3,0)</f>
        <v>Q2</v>
      </c>
    </row>
    <row r="845" spans="1:12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5">
        <v>50</v>
      </c>
      <c r="I845" s="5">
        <v>150</v>
      </c>
      <c r="J845" s="2" t="str">
        <f>TEXT(Table1[[#This Row],[Date]],"mmm")</f>
        <v>Oct</v>
      </c>
      <c r="K845" t="str" cm="1">
        <f t="array" ref="K845">_xlfn.IFS(Table1[[#This Row],[Age]]&lt;25,"18-24",Table1[[#This Row],[Age]]&lt;35,"25-34",Table1[[#This Row],[Age]]&lt;45,"35-44",Table1[[#This Row],[Age]]&lt;55,"45-54",TRUE,"55+")</f>
        <v>35-44</v>
      </c>
      <c r="L845" t="str">
        <f>"Q"&amp;ROUNDUP(MONTH(Table1[[#This Row],[Date]])/3,0)</f>
        <v>Q4</v>
      </c>
    </row>
    <row r="846" spans="1:12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5">
        <v>500</v>
      </c>
      <c r="I846" s="5">
        <v>500</v>
      </c>
      <c r="J846" s="2" t="str">
        <f>TEXT(Table1[[#This Row],[Date]],"mmm")</f>
        <v>Jan</v>
      </c>
      <c r="K846" t="str" cm="1">
        <f t="array" ref="K846">_xlfn.IFS(Table1[[#This Row],[Age]]&lt;25,"18-24",Table1[[#This Row],[Age]]&lt;35,"25-34",Table1[[#This Row],[Age]]&lt;45,"35-44",Table1[[#This Row],[Age]]&lt;55,"45-54",TRUE,"55+")</f>
        <v>45-54</v>
      </c>
      <c r="L846" t="str">
        <f>"Q"&amp;ROUNDUP(MONTH(Table1[[#This Row],[Date]])/3,0)</f>
        <v>Q1</v>
      </c>
    </row>
    <row r="847" spans="1:12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5">
        <v>50</v>
      </c>
      <c r="I847" s="5">
        <v>50</v>
      </c>
      <c r="J847" s="2" t="str">
        <f>TEXT(Table1[[#This Row],[Date]],"mmm")</f>
        <v>Sep</v>
      </c>
      <c r="K847" t="str" cm="1">
        <f t="array" ref="K847">_xlfn.IFS(Table1[[#This Row],[Age]]&lt;25,"18-24",Table1[[#This Row],[Age]]&lt;35,"25-34",Table1[[#This Row],[Age]]&lt;45,"35-44",Table1[[#This Row],[Age]]&lt;55,"45-54",TRUE,"55+")</f>
        <v>35-44</v>
      </c>
      <c r="L847" t="str">
        <f>"Q"&amp;ROUNDUP(MONTH(Table1[[#This Row],[Date]])/3,0)</f>
        <v>Q3</v>
      </c>
    </row>
    <row r="848" spans="1:12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5">
        <v>300</v>
      </c>
      <c r="I848" s="5">
        <v>1200</v>
      </c>
      <c r="J848" s="2" t="str">
        <f>TEXT(Table1[[#This Row],[Date]],"mmm")</f>
        <v>Apr</v>
      </c>
      <c r="K848" t="str" cm="1">
        <f t="array" ref="K848">_xlfn.IFS(Table1[[#This Row],[Age]]&lt;25,"18-24",Table1[[#This Row],[Age]]&lt;35,"25-34",Table1[[#This Row],[Age]]&lt;45,"35-44",Table1[[#This Row],[Age]]&lt;55,"45-54",TRUE,"55+")</f>
        <v>18-24</v>
      </c>
      <c r="L848" t="str">
        <f>"Q"&amp;ROUNDUP(MONTH(Table1[[#This Row],[Date]])/3,0)</f>
        <v>Q2</v>
      </c>
    </row>
    <row r="849" spans="1:12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5">
        <v>25</v>
      </c>
      <c r="I849" s="5">
        <v>75</v>
      </c>
      <c r="J849" s="2" t="str">
        <f>TEXT(Table1[[#This Row],[Date]],"mmm")</f>
        <v>Feb</v>
      </c>
      <c r="K849" t="str" cm="1">
        <f t="array" ref="K849">_xlfn.IFS(Table1[[#This Row],[Age]]&lt;25,"18-24",Table1[[#This Row],[Age]]&lt;35,"25-34",Table1[[#This Row],[Age]]&lt;45,"35-44",Table1[[#This Row],[Age]]&lt;55,"45-54",TRUE,"55+")</f>
        <v>55+</v>
      </c>
      <c r="L849" t="str">
        <f>"Q"&amp;ROUNDUP(MONTH(Table1[[#This Row],[Date]])/3,0)</f>
        <v>Q1</v>
      </c>
    </row>
    <row r="850" spans="1:12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5">
        <v>25</v>
      </c>
      <c r="I850" s="5">
        <v>50</v>
      </c>
      <c r="J850" s="2" t="str">
        <f>TEXT(Table1[[#This Row],[Date]],"mmm")</f>
        <v>May</v>
      </c>
      <c r="K850" t="str" cm="1">
        <f t="array" ref="K850">_xlfn.IFS(Table1[[#This Row],[Age]]&lt;25,"18-24",Table1[[#This Row],[Age]]&lt;35,"25-34",Table1[[#This Row],[Age]]&lt;45,"35-44",Table1[[#This Row],[Age]]&lt;55,"45-54",TRUE,"55+")</f>
        <v>25-34</v>
      </c>
      <c r="L850" t="str">
        <f>"Q"&amp;ROUNDUP(MONTH(Table1[[#This Row],[Date]])/3,0)</f>
        <v>Q2</v>
      </c>
    </row>
    <row r="851" spans="1:12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5">
        <v>500</v>
      </c>
      <c r="I851" s="5">
        <v>1000</v>
      </c>
      <c r="J851" s="2" t="str">
        <f>TEXT(Table1[[#This Row],[Date]],"mmm")</f>
        <v>Jul</v>
      </c>
      <c r="K851" t="str" cm="1">
        <f t="array" ref="K851">_xlfn.IFS(Table1[[#This Row],[Age]]&lt;25,"18-24",Table1[[#This Row],[Age]]&lt;35,"25-34",Table1[[#This Row],[Age]]&lt;45,"35-44",Table1[[#This Row],[Age]]&lt;55,"45-54",TRUE,"55+")</f>
        <v>25-34</v>
      </c>
      <c r="L851" t="str">
        <f>"Q"&amp;ROUNDUP(MONTH(Table1[[#This Row],[Date]])/3,0)</f>
        <v>Q3</v>
      </c>
    </row>
    <row r="852" spans="1:12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5">
        <v>25</v>
      </c>
      <c r="I852" s="5">
        <v>50</v>
      </c>
      <c r="J852" s="2" t="str">
        <f>TEXT(Table1[[#This Row],[Date]],"mmm")</f>
        <v>Sep</v>
      </c>
      <c r="K852" t="str" cm="1">
        <f t="array" ref="K852">_xlfn.IFS(Table1[[#This Row],[Age]]&lt;25,"18-24",Table1[[#This Row],[Age]]&lt;35,"25-34",Table1[[#This Row],[Age]]&lt;45,"35-44",Table1[[#This Row],[Age]]&lt;55,"45-54",TRUE,"55+")</f>
        <v>25-34</v>
      </c>
      <c r="L852" t="str">
        <f>"Q"&amp;ROUNDUP(MONTH(Table1[[#This Row],[Date]])/3,0)</f>
        <v>Q3</v>
      </c>
    </row>
    <row r="853" spans="1:12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5">
        <v>300</v>
      </c>
      <c r="I853" s="5">
        <v>300</v>
      </c>
      <c r="J853" s="2" t="str">
        <f>TEXT(Table1[[#This Row],[Date]],"mmm")</f>
        <v>Oct</v>
      </c>
      <c r="K853" t="str" cm="1">
        <f t="array" ref="K853">_xlfn.IFS(Table1[[#This Row],[Age]]&lt;25,"18-24",Table1[[#This Row],[Age]]&lt;35,"25-34",Table1[[#This Row],[Age]]&lt;45,"35-44",Table1[[#This Row],[Age]]&lt;55,"45-54",TRUE,"55+")</f>
        <v>35-44</v>
      </c>
      <c r="L853" t="str">
        <f>"Q"&amp;ROUNDUP(MONTH(Table1[[#This Row],[Date]])/3,0)</f>
        <v>Q4</v>
      </c>
    </row>
    <row r="854" spans="1:12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5">
        <v>500</v>
      </c>
      <c r="I854" s="5">
        <v>1000</v>
      </c>
      <c r="J854" s="2" t="str">
        <f>TEXT(Table1[[#This Row],[Date]],"mmm")</f>
        <v>May</v>
      </c>
      <c r="K854" t="str" cm="1">
        <f t="array" ref="K854">_xlfn.IFS(Table1[[#This Row],[Age]]&lt;25,"18-24",Table1[[#This Row],[Age]]&lt;35,"25-34",Table1[[#This Row],[Age]]&lt;45,"35-44",Table1[[#This Row],[Age]]&lt;55,"45-54",TRUE,"55+")</f>
        <v>18-24</v>
      </c>
      <c r="L854" t="str">
        <f>"Q"&amp;ROUNDUP(MONTH(Table1[[#This Row],[Date]])/3,0)</f>
        <v>Q2</v>
      </c>
    </row>
    <row r="855" spans="1:12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5">
        <v>50</v>
      </c>
      <c r="I855" s="5">
        <v>50</v>
      </c>
      <c r="J855" s="2" t="str">
        <f>TEXT(Table1[[#This Row],[Date]],"mmm")</f>
        <v>Dec</v>
      </c>
      <c r="K855" t="str" cm="1">
        <f t="array" ref="K855">_xlfn.IFS(Table1[[#This Row],[Age]]&lt;25,"18-24",Table1[[#This Row],[Age]]&lt;35,"25-34",Table1[[#This Row],[Age]]&lt;45,"35-44",Table1[[#This Row],[Age]]&lt;55,"45-54",TRUE,"55+")</f>
        <v>25-34</v>
      </c>
      <c r="L855" t="str">
        <f>"Q"&amp;ROUNDUP(MONTH(Table1[[#This Row],[Date]])/3,0)</f>
        <v>Q4</v>
      </c>
    </row>
    <row r="856" spans="1:12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5">
        <v>25</v>
      </c>
      <c r="I856" s="5">
        <v>25</v>
      </c>
      <c r="J856" s="2" t="str">
        <f>TEXT(Table1[[#This Row],[Date]],"mmm")</f>
        <v>Sep</v>
      </c>
      <c r="K856" t="str" cm="1">
        <f t="array" ref="K856">_xlfn.IFS(Table1[[#This Row],[Age]]&lt;25,"18-24",Table1[[#This Row],[Age]]&lt;35,"25-34",Table1[[#This Row],[Age]]&lt;45,"35-44",Table1[[#This Row],[Age]]&lt;55,"45-54",TRUE,"55+")</f>
        <v>45-54</v>
      </c>
      <c r="L856" t="str">
        <f>"Q"&amp;ROUNDUP(MONTH(Table1[[#This Row],[Date]])/3,0)</f>
        <v>Q3</v>
      </c>
    </row>
    <row r="857" spans="1:12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5">
        <v>30</v>
      </c>
      <c r="I857" s="5">
        <v>120</v>
      </c>
      <c r="J857" s="2" t="str">
        <f>TEXT(Table1[[#This Row],[Date]],"mmm")</f>
        <v>Nov</v>
      </c>
      <c r="K857" t="str" cm="1">
        <f t="array" ref="K857">_xlfn.IFS(Table1[[#This Row],[Age]]&lt;25,"18-24",Table1[[#This Row],[Age]]&lt;35,"25-34",Table1[[#This Row],[Age]]&lt;45,"35-44",Table1[[#This Row],[Age]]&lt;55,"45-54",TRUE,"55+")</f>
        <v>45-54</v>
      </c>
      <c r="L857" t="str">
        <f>"Q"&amp;ROUNDUP(MONTH(Table1[[#This Row],[Date]])/3,0)</f>
        <v>Q4</v>
      </c>
    </row>
    <row r="858" spans="1:12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5">
        <v>25</v>
      </c>
      <c r="I858" s="5">
        <v>50</v>
      </c>
      <c r="J858" s="2" t="str">
        <f>TEXT(Table1[[#This Row],[Date]],"mmm")</f>
        <v>Dec</v>
      </c>
      <c r="K858" t="str" cm="1">
        <f t="array" ref="K858">_xlfn.IFS(Table1[[#This Row],[Age]]&lt;25,"18-24",Table1[[#This Row],[Age]]&lt;35,"25-34",Table1[[#This Row],[Age]]&lt;45,"35-44",Table1[[#This Row],[Age]]&lt;55,"45-54",TRUE,"55+")</f>
        <v>55+</v>
      </c>
      <c r="L858" t="str">
        <f>"Q"&amp;ROUNDUP(MONTH(Table1[[#This Row],[Date]])/3,0)</f>
        <v>Q4</v>
      </c>
    </row>
    <row r="859" spans="1:12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5">
        <v>50</v>
      </c>
      <c r="I859" s="5">
        <v>100</v>
      </c>
      <c r="J859" s="2" t="str">
        <f>TEXT(Table1[[#This Row],[Date]],"mmm")</f>
        <v>Sep</v>
      </c>
      <c r="K859" t="str" cm="1">
        <f t="array" ref="K859">_xlfn.IFS(Table1[[#This Row],[Age]]&lt;25,"18-24",Table1[[#This Row],[Age]]&lt;35,"25-34",Table1[[#This Row],[Age]]&lt;45,"35-44",Table1[[#This Row],[Age]]&lt;55,"45-54",TRUE,"55+")</f>
        <v>18-24</v>
      </c>
      <c r="L859" t="str">
        <f>"Q"&amp;ROUNDUP(MONTH(Table1[[#This Row],[Date]])/3,0)</f>
        <v>Q3</v>
      </c>
    </row>
    <row r="860" spans="1:12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5">
        <v>500</v>
      </c>
      <c r="I860" s="5">
        <v>1500</v>
      </c>
      <c r="J860" s="2" t="str">
        <f>TEXT(Table1[[#This Row],[Date]],"mmm")</f>
        <v>Aug</v>
      </c>
      <c r="K860" t="str" cm="1">
        <f t="array" ref="K860">_xlfn.IFS(Table1[[#This Row],[Age]]&lt;25,"18-24",Table1[[#This Row],[Age]]&lt;35,"25-34",Table1[[#This Row],[Age]]&lt;45,"35-44",Table1[[#This Row],[Age]]&lt;55,"45-54",TRUE,"55+")</f>
        <v>55+</v>
      </c>
      <c r="L860" t="str">
        <f>"Q"&amp;ROUNDUP(MONTH(Table1[[#This Row],[Date]])/3,0)</f>
        <v>Q3</v>
      </c>
    </row>
    <row r="861" spans="1:12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5">
        <v>50</v>
      </c>
      <c r="I861" s="5">
        <v>200</v>
      </c>
      <c r="J861" s="2" t="str">
        <f>TEXT(Table1[[#This Row],[Date]],"mmm")</f>
        <v>Jan</v>
      </c>
      <c r="K861" t="str" cm="1">
        <f t="array" ref="K861">_xlfn.IFS(Table1[[#This Row],[Age]]&lt;25,"18-24",Table1[[#This Row],[Age]]&lt;35,"25-34",Table1[[#This Row],[Age]]&lt;45,"35-44",Table1[[#This Row],[Age]]&lt;55,"45-54",TRUE,"55+")</f>
        <v>55+</v>
      </c>
      <c r="L861" t="str">
        <f>"Q"&amp;ROUNDUP(MONTH(Table1[[#This Row],[Date]])/3,0)</f>
        <v>Q1</v>
      </c>
    </row>
    <row r="862" spans="1:12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5">
        <v>30</v>
      </c>
      <c r="I862" s="5">
        <v>90</v>
      </c>
      <c r="J862" s="2" t="str">
        <f>TEXT(Table1[[#This Row],[Date]],"mmm")</f>
        <v>Feb</v>
      </c>
      <c r="K862" t="str" cm="1">
        <f t="array" ref="K862">_xlfn.IFS(Table1[[#This Row],[Age]]&lt;25,"18-24",Table1[[#This Row],[Age]]&lt;35,"25-34",Table1[[#This Row],[Age]]&lt;45,"35-44",Table1[[#This Row],[Age]]&lt;55,"45-54",TRUE,"55+")</f>
        <v>35-44</v>
      </c>
      <c r="L862" t="str">
        <f>"Q"&amp;ROUNDUP(MONTH(Table1[[#This Row],[Date]])/3,0)</f>
        <v>Q1</v>
      </c>
    </row>
    <row r="863" spans="1:12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5">
        <v>300</v>
      </c>
      <c r="I863" s="5">
        <v>1200</v>
      </c>
      <c r="J863" s="2" t="str">
        <f>TEXT(Table1[[#This Row],[Date]],"mmm")</f>
        <v>May</v>
      </c>
      <c r="K863" t="str" cm="1">
        <f t="array" ref="K863">_xlfn.IFS(Table1[[#This Row],[Age]]&lt;25,"18-24",Table1[[#This Row],[Age]]&lt;35,"25-34",Table1[[#This Row],[Age]]&lt;45,"35-44",Table1[[#This Row],[Age]]&lt;55,"45-54",TRUE,"55+")</f>
        <v>25-34</v>
      </c>
      <c r="L863" t="str">
        <f>"Q"&amp;ROUNDUP(MONTH(Table1[[#This Row],[Date]])/3,0)</f>
        <v>Q2</v>
      </c>
    </row>
    <row r="864" spans="1:12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5">
        <v>25</v>
      </c>
      <c r="I864" s="5">
        <v>50</v>
      </c>
      <c r="J864" s="2" t="str">
        <f>TEXT(Table1[[#This Row],[Date]],"mmm")</f>
        <v>Apr</v>
      </c>
      <c r="K864" t="str" cm="1">
        <f t="array" ref="K864">_xlfn.IFS(Table1[[#This Row],[Age]]&lt;25,"18-24",Table1[[#This Row],[Age]]&lt;35,"25-34",Table1[[#This Row],[Age]]&lt;45,"35-44",Table1[[#This Row],[Age]]&lt;55,"45-54",TRUE,"55+")</f>
        <v>25-34</v>
      </c>
      <c r="L864" t="str">
        <f>"Q"&amp;ROUNDUP(MONTH(Table1[[#This Row],[Date]])/3,0)</f>
        <v>Q2</v>
      </c>
    </row>
    <row r="865" spans="1:12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5">
        <v>500</v>
      </c>
      <c r="I865" s="5">
        <v>500</v>
      </c>
      <c r="J865" s="2" t="str">
        <f>TEXT(Table1[[#This Row],[Date]],"mmm")</f>
        <v>Jul</v>
      </c>
      <c r="K865" t="str" cm="1">
        <f t="array" ref="K865">_xlfn.IFS(Table1[[#This Row],[Age]]&lt;25,"18-24",Table1[[#This Row],[Age]]&lt;35,"25-34",Table1[[#This Row],[Age]]&lt;45,"35-44",Table1[[#This Row],[Age]]&lt;55,"45-54",TRUE,"55+")</f>
        <v>45-54</v>
      </c>
      <c r="L865" t="str">
        <f>"Q"&amp;ROUNDUP(MONTH(Table1[[#This Row],[Date]])/3,0)</f>
        <v>Q3</v>
      </c>
    </row>
    <row r="866" spans="1:12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5">
        <v>300</v>
      </c>
      <c r="I866" s="5">
        <v>300</v>
      </c>
      <c r="J866" s="2" t="str">
        <f>TEXT(Table1[[#This Row],[Date]],"mmm")</f>
        <v>Dec</v>
      </c>
      <c r="K866" t="str" cm="1">
        <f t="array" ref="K866">_xlfn.IFS(Table1[[#This Row],[Age]]&lt;25,"18-24",Table1[[#This Row],[Age]]&lt;35,"25-34",Table1[[#This Row],[Age]]&lt;45,"35-44",Table1[[#This Row],[Age]]&lt;55,"45-54",TRUE,"55+")</f>
        <v>35-44</v>
      </c>
      <c r="L866" t="str">
        <f>"Q"&amp;ROUNDUP(MONTH(Table1[[#This Row],[Date]])/3,0)</f>
        <v>Q4</v>
      </c>
    </row>
    <row r="867" spans="1:12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5">
        <v>50</v>
      </c>
      <c r="I867" s="5">
        <v>50</v>
      </c>
      <c r="J867" s="2" t="str">
        <f>TEXT(Table1[[#This Row],[Date]],"mmm")</f>
        <v>May</v>
      </c>
      <c r="K867" t="str" cm="1">
        <f t="array" ref="K867">_xlfn.IFS(Table1[[#This Row],[Age]]&lt;25,"18-24",Table1[[#This Row],[Age]]&lt;35,"25-34",Table1[[#This Row],[Age]]&lt;45,"35-44",Table1[[#This Row],[Age]]&lt;55,"45-54",TRUE,"55+")</f>
        <v>18-24</v>
      </c>
      <c r="L867" t="str">
        <f>"Q"&amp;ROUNDUP(MONTH(Table1[[#This Row],[Date]])/3,0)</f>
        <v>Q2</v>
      </c>
    </row>
    <row r="868" spans="1:12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5">
        <v>500</v>
      </c>
      <c r="I868" s="5">
        <v>500</v>
      </c>
      <c r="J868" s="2" t="str">
        <f>TEXT(Table1[[#This Row],[Date]],"mmm")</f>
        <v>Jun</v>
      </c>
      <c r="K868" t="str" cm="1">
        <f t="array" ref="K868">_xlfn.IFS(Table1[[#This Row],[Age]]&lt;25,"18-24",Table1[[#This Row],[Age]]&lt;35,"25-34",Table1[[#This Row],[Age]]&lt;45,"35-44",Table1[[#This Row],[Age]]&lt;55,"45-54",TRUE,"55+")</f>
        <v>18-24</v>
      </c>
      <c r="L868" t="str">
        <f>"Q"&amp;ROUNDUP(MONTH(Table1[[#This Row],[Date]])/3,0)</f>
        <v>Q2</v>
      </c>
    </row>
    <row r="869" spans="1:12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5">
        <v>300</v>
      </c>
      <c r="I869" s="5">
        <v>300</v>
      </c>
      <c r="J869" s="2" t="str">
        <f>TEXT(Table1[[#This Row],[Date]],"mmm")</f>
        <v>Dec</v>
      </c>
      <c r="K869" t="str" cm="1">
        <f t="array" ref="K869">_xlfn.IFS(Table1[[#This Row],[Age]]&lt;25,"18-24",Table1[[#This Row],[Age]]&lt;35,"25-34",Table1[[#This Row],[Age]]&lt;45,"35-44",Table1[[#This Row],[Age]]&lt;55,"45-54",TRUE,"55+")</f>
        <v>25-34</v>
      </c>
      <c r="L869" t="str">
        <f>"Q"&amp;ROUNDUP(MONTH(Table1[[#This Row],[Date]])/3,0)</f>
        <v>Q4</v>
      </c>
    </row>
    <row r="870" spans="1:12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5">
        <v>500</v>
      </c>
      <c r="I870" s="5">
        <v>1500</v>
      </c>
      <c r="J870" s="2" t="str">
        <f>TEXT(Table1[[#This Row],[Date]],"mmm")</f>
        <v>Oct</v>
      </c>
      <c r="K870" t="str" cm="1">
        <f t="array" ref="K870">_xlfn.IFS(Table1[[#This Row],[Age]]&lt;25,"18-24",Table1[[#This Row],[Age]]&lt;35,"25-34",Table1[[#This Row],[Age]]&lt;45,"35-44",Table1[[#This Row],[Age]]&lt;55,"45-54",TRUE,"55+")</f>
        <v>35-44</v>
      </c>
      <c r="L870" t="str">
        <f>"Q"&amp;ROUNDUP(MONTH(Table1[[#This Row],[Date]])/3,0)</f>
        <v>Q4</v>
      </c>
    </row>
    <row r="871" spans="1:12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5">
        <v>30</v>
      </c>
      <c r="I871" s="5">
        <v>120</v>
      </c>
      <c r="J871" s="2" t="str">
        <f>TEXT(Table1[[#This Row],[Date]],"mmm")</f>
        <v>Jul</v>
      </c>
      <c r="K871" t="str" cm="1">
        <f t="array" ref="K871">_xlfn.IFS(Table1[[#This Row],[Age]]&lt;25,"18-24",Table1[[#This Row],[Age]]&lt;35,"25-34",Table1[[#This Row],[Age]]&lt;45,"35-44",Table1[[#This Row],[Age]]&lt;55,"45-54",TRUE,"55+")</f>
        <v>45-54</v>
      </c>
      <c r="L871" t="str">
        <f>"Q"&amp;ROUNDUP(MONTH(Table1[[#This Row],[Date]])/3,0)</f>
        <v>Q3</v>
      </c>
    </row>
    <row r="872" spans="1:12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5">
        <v>30</v>
      </c>
      <c r="I872" s="5">
        <v>60</v>
      </c>
      <c r="J872" s="2" t="str">
        <f>TEXT(Table1[[#This Row],[Date]],"mmm")</f>
        <v>Aug</v>
      </c>
      <c r="K872" t="str" cm="1">
        <f t="array" ref="K872">_xlfn.IFS(Table1[[#This Row],[Age]]&lt;25,"18-24",Table1[[#This Row],[Age]]&lt;35,"25-34",Table1[[#This Row],[Age]]&lt;45,"35-44",Table1[[#This Row],[Age]]&lt;55,"45-54",TRUE,"55+")</f>
        <v>55+</v>
      </c>
      <c r="L872" t="str">
        <f>"Q"&amp;ROUNDUP(MONTH(Table1[[#This Row],[Date]])/3,0)</f>
        <v>Q3</v>
      </c>
    </row>
    <row r="873" spans="1:12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5">
        <v>25</v>
      </c>
      <c r="I873" s="5">
        <v>75</v>
      </c>
      <c r="J873" s="2" t="str">
        <f>TEXT(Table1[[#This Row],[Date]],"mmm")</f>
        <v>Oct</v>
      </c>
      <c r="K873" t="str" cm="1">
        <f t="array" ref="K873">_xlfn.IFS(Table1[[#This Row],[Age]]&lt;25,"18-24",Table1[[#This Row],[Age]]&lt;35,"25-34",Table1[[#This Row],[Age]]&lt;45,"35-44",Table1[[#This Row],[Age]]&lt;55,"45-54",TRUE,"55+")</f>
        <v>55+</v>
      </c>
      <c r="L873" t="str">
        <f>"Q"&amp;ROUNDUP(MONTH(Table1[[#This Row],[Date]])/3,0)</f>
        <v>Q4</v>
      </c>
    </row>
    <row r="874" spans="1:12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5">
        <v>25</v>
      </c>
      <c r="I874" s="5">
        <v>100</v>
      </c>
      <c r="J874" s="2" t="str">
        <f>TEXT(Table1[[#This Row],[Date]],"mmm")</f>
        <v>Sep</v>
      </c>
      <c r="K874" t="str" cm="1">
        <f t="array" ref="K874">_xlfn.IFS(Table1[[#This Row],[Age]]&lt;25,"18-24",Table1[[#This Row],[Age]]&lt;35,"25-34",Table1[[#This Row],[Age]]&lt;45,"35-44",Table1[[#This Row],[Age]]&lt;55,"45-54",TRUE,"55+")</f>
        <v>25-34</v>
      </c>
      <c r="L874" t="str">
        <f>"Q"&amp;ROUNDUP(MONTH(Table1[[#This Row],[Date]])/3,0)</f>
        <v>Q3</v>
      </c>
    </row>
    <row r="875" spans="1:12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5">
        <v>30</v>
      </c>
      <c r="I875" s="5">
        <v>30</v>
      </c>
      <c r="J875" s="2" t="str">
        <f>TEXT(Table1[[#This Row],[Date]],"mmm")</f>
        <v>Jun</v>
      </c>
      <c r="K875" t="str" cm="1">
        <f t="array" ref="K875">_xlfn.IFS(Table1[[#This Row],[Age]]&lt;25,"18-24",Table1[[#This Row],[Age]]&lt;35,"25-34",Table1[[#This Row],[Age]]&lt;45,"35-44",Table1[[#This Row],[Age]]&lt;55,"45-54",TRUE,"55+")</f>
        <v>55+</v>
      </c>
      <c r="L875" t="str">
        <f>"Q"&amp;ROUNDUP(MONTH(Table1[[#This Row],[Date]])/3,0)</f>
        <v>Q2</v>
      </c>
    </row>
    <row r="876" spans="1:12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5">
        <v>500</v>
      </c>
      <c r="I876" s="5">
        <v>2000</v>
      </c>
      <c r="J876" s="2" t="str">
        <f>TEXT(Table1[[#This Row],[Date]],"mmm")</f>
        <v>Aug</v>
      </c>
      <c r="K876" t="str" cm="1">
        <f t="array" ref="K876">_xlfn.IFS(Table1[[#This Row],[Age]]&lt;25,"18-24",Table1[[#This Row],[Age]]&lt;35,"25-34",Table1[[#This Row],[Age]]&lt;45,"35-44",Table1[[#This Row],[Age]]&lt;55,"45-54",TRUE,"55+")</f>
        <v>45-54</v>
      </c>
      <c r="L876" t="str">
        <f>"Q"&amp;ROUNDUP(MONTH(Table1[[#This Row],[Date]])/3,0)</f>
        <v>Q3</v>
      </c>
    </row>
    <row r="877" spans="1:12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5">
        <v>30</v>
      </c>
      <c r="I877" s="5">
        <v>120</v>
      </c>
      <c r="J877" s="2" t="str">
        <f>TEXT(Table1[[#This Row],[Date]],"mmm")</f>
        <v>Oct</v>
      </c>
      <c r="K877" t="str" cm="1">
        <f t="array" ref="K877">_xlfn.IFS(Table1[[#This Row],[Age]]&lt;25,"18-24",Table1[[#This Row],[Age]]&lt;35,"25-34",Table1[[#This Row],[Age]]&lt;45,"35-44",Table1[[#This Row],[Age]]&lt;55,"45-54",TRUE,"55+")</f>
        <v>35-44</v>
      </c>
      <c r="L877" t="str">
        <f>"Q"&amp;ROUNDUP(MONTH(Table1[[#This Row],[Date]])/3,0)</f>
        <v>Q4</v>
      </c>
    </row>
    <row r="878" spans="1:12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5">
        <v>25</v>
      </c>
      <c r="I878" s="5">
        <v>25</v>
      </c>
      <c r="J878" s="2" t="str">
        <f>TEXT(Table1[[#This Row],[Date]],"mmm")</f>
        <v>Jun</v>
      </c>
      <c r="K878" t="str" cm="1">
        <f t="array" ref="K878">_xlfn.IFS(Table1[[#This Row],[Age]]&lt;25,"18-24",Table1[[#This Row],[Age]]&lt;35,"25-34",Table1[[#This Row],[Age]]&lt;45,"35-44",Table1[[#This Row],[Age]]&lt;55,"45-54",TRUE,"55+")</f>
        <v>55+</v>
      </c>
      <c r="L878" t="str">
        <f>"Q"&amp;ROUNDUP(MONTH(Table1[[#This Row],[Date]])/3,0)</f>
        <v>Q2</v>
      </c>
    </row>
    <row r="879" spans="1:12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5">
        <v>30</v>
      </c>
      <c r="I879" s="5">
        <v>30</v>
      </c>
      <c r="J879" s="2" t="str">
        <f>TEXT(Table1[[#This Row],[Date]],"mmm")</f>
        <v>Jun</v>
      </c>
      <c r="K879" t="str" cm="1">
        <f t="array" ref="K879">_xlfn.IFS(Table1[[#This Row],[Age]]&lt;25,"18-24",Table1[[#This Row],[Age]]&lt;35,"25-34",Table1[[#This Row],[Age]]&lt;45,"35-44",Table1[[#This Row],[Age]]&lt;55,"45-54",TRUE,"55+")</f>
        <v>18-24</v>
      </c>
      <c r="L879" t="str">
        <f>"Q"&amp;ROUNDUP(MONTH(Table1[[#This Row],[Date]])/3,0)</f>
        <v>Q2</v>
      </c>
    </row>
    <row r="880" spans="1:12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5">
        <v>30</v>
      </c>
      <c r="I880" s="5">
        <v>30</v>
      </c>
      <c r="J880" s="2" t="str">
        <f>TEXT(Table1[[#This Row],[Date]],"mmm")</f>
        <v>Dec</v>
      </c>
      <c r="K880" t="str" cm="1">
        <f t="array" ref="K880">_xlfn.IFS(Table1[[#This Row],[Age]]&lt;25,"18-24",Table1[[#This Row],[Age]]&lt;35,"25-34",Table1[[#This Row],[Age]]&lt;45,"35-44",Table1[[#This Row],[Age]]&lt;55,"45-54",TRUE,"55+")</f>
        <v>18-24</v>
      </c>
      <c r="L880" t="str">
        <f>"Q"&amp;ROUNDUP(MONTH(Table1[[#This Row],[Date]])/3,0)</f>
        <v>Q4</v>
      </c>
    </row>
    <row r="881" spans="1:12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5">
        <v>500</v>
      </c>
      <c r="I881" s="5">
        <v>1000</v>
      </c>
      <c r="J881" s="2" t="str">
        <f>TEXT(Table1[[#This Row],[Date]],"mmm")</f>
        <v>Aug</v>
      </c>
      <c r="K881" t="str" cm="1">
        <f t="array" ref="K881">_xlfn.IFS(Table1[[#This Row],[Age]]&lt;25,"18-24",Table1[[#This Row],[Age]]&lt;35,"25-34",Table1[[#This Row],[Age]]&lt;45,"35-44",Table1[[#This Row],[Age]]&lt;55,"45-54",TRUE,"55+")</f>
        <v>18-24</v>
      </c>
      <c r="L881" t="str">
        <f>"Q"&amp;ROUNDUP(MONTH(Table1[[#This Row],[Date]])/3,0)</f>
        <v>Q3</v>
      </c>
    </row>
    <row r="882" spans="1:12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5">
        <v>300</v>
      </c>
      <c r="I882" s="5">
        <v>300</v>
      </c>
      <c r="J882" s="2" t="str">
        <f>TEXT(Table1[[#This Row],[Date]],"mmm")</f>
        <v>May</v>
      </c>
      <c r="K882" t="str" cm="1">
        <f t="array" ref="K882">_xlfn.IFS(Table1[[#This Row],[Age]]&lt;25,"18-24",Table1[[#This Row],[Age]]&lt;35,"25-34",Table1[[#This Row],[Age]]&lt;45,"35-44",Table1[[#This Row],[Age]]&lt;55,"45-54",TRUE,"55+")</f>
        <v>18-24</v>
      </c>
      <c r="L882" t="str">
        <f>"Q"&amp;ROUNDUP(MONTH(Table1[[#This Row],[Date]])/3,0)</f>
        <v>Q2</v>
      </c>
    </row>
    <row r="883" spans="1:12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5">
        <v>25</v>
      </c>
      <c r="I883" s="5">
        <v>50</v>
      </c>
      <c r="J883" s="2" t="str">
        <f>TEXT(Table1[[#This Row],[Date]],"mmm")</f>
        <v>Jun</v>
      </c>
      <c r="K883" t="str" cm="1">
        <f t="array" ref="K883">_xlfn.IFS(Table1[[#This Row],[Age]]&lt;25,"18-24",Table1[[#This Row],[Age]]&lt;35,"25-34",Table1[[#This Row],[Age]]&lt;45,"35-44",Table1[[#This Row],[Age]]&lt;55,"45-54",TRUE,"55+")</f>
        <v>55+</v>
      </c>
      <c r="L883" t="str">
        <f>"Q"&amp;ROUNDUP(MONTH(Table1[[#This Row],[Date]])/3,0)</f>
        <v>Q2</v>
      </c>
    </row>
    <row r="884" spans="1:12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5">
        <v>500</v>
      </c>
      <c r="I884" s="5">
        <v>500</v>
      </c>
      <c r="J884" s="2" t="str">
        <f>TEXT(Table1[[#This Row],[Date]],"mmm")</f>
        <v>May</v>
      </c>
      <c r="K884" t="str" cm="1">
        <f t="array" ref="K884">_xlfn.IFS(Table1[[#This Row],[Age]]&lt;25,"18-24",Table1[[#This Row],[Age]]&lt;35,"25-34",Table1[[#This Row],[Age]]&lt;45,"35-44",Table1[[#This Row],[Age]]&lt;55,"45-54",TRUE,"55+")</f>
        <v>35-44</v>
      </c>
      <c r="L884" t="str">
        <f>"Q"&amp;ROUNDUP(MONTH(Table1[[#This Row],[Date]])/3,0)</f>
        <v>Q2</v>
      </c>
    </row>
    <row r="885" spans="1:12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5">
        <v>30</v>
      </c>
      <c r="I885" s="5">
        <v>60</v>
      </c>
      <c r="J885" s="2" t="str">
        <f>TEXT(Table1[[#This Row],[Date]],"mmm")</f>
        <v>Apr</v>
      </c>
      <c r="K885" t="str" cm="1">
        <f t="array" ref="K885">_xlfn.IFS(Table1[[#This Row],[Age]]&lt;25,"18-24",Table1[[#This Row],[Age]]&lt;35,"25-34",Table1[[#This Row],[Age]]&lt;45,"35-44",Table1[[#This Row],[Age]]&lt;55,"45-54",TRUE,"55+")</f>
        <v>25-34</v>
      </c>
      <c r="L885" t="str">
        <f>"Q"&amp;ROUNDUP(MONTH(Table1[[#This Row],[Date]])/3,0)</f>
        <v>Q2</v>
      </c>
    </row>
    <row r="886" spans="1:12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5">
        <v>30</v>
      </c>
      <c r="I886" s="5">
        <v>120</v>
      </c>
      <c r="J886" s="2" t="str">
        <f>TEXT(Table1[[#This Row],[Date]],"mmm")</f>
        <v>Mar</v>
      </c>
      <c r="K886" t="str" cm="1">
        <f t="array" ref="K886">_xlfn.IFS(Table1[[#This Row],[Age]]&lt;25,"18-24",Table1[[#This Row],[Age]]&lt;35,"25-34",Table1[[#This Row],[Age]]&lt;45,"35-44",Table1[[#This Row],[Age]]&lt;55,"45-54",TRUE,"55+")</f>
        <v>45-54</v>
      </c>
      <c r="L886" t="str">
        <f>"Q"&amp;ROUNDUP(MONTH(Table1[[#This Row],[Date]])/3,0)</f>
        <v>Q1</v>
      </c>
    </row>
    <row r="887" spans="1:12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5">
        <v>300</v>
      </c>
      <c r="I887" s="5">
        <v>900</v>
      </c>
      <c r="J887" s="2" t="str">
        <f>TEXT(Table1[[#This Row],[Date]],"mmm")</f>
        <v>Apr</v>
      </c>
      <c r="K887" t="str" cm="1">
        <f t="array" ref="K887">_xlfn.IFS(Table1[[#This Row],[Age]]&lt;25,"18-24",Table1[[#This Row],[Age]]&lt;35,"25-34",Table1[[#This Row],[Age]]&lt;45,"35-44",Table1[[#This Row],[Age]]&lt;55,"45-54",TRUE,"55+")</f>
        <v>35-44</v>
      </c>
      <c r="L887" t="str">
        <f>"Q"&amp;ROUNDUP(MONTH(Table1[[#This Row],[Date]])/3,0)</f>
        <v>Q2</v>
      </c>
    </row>
    <row r="888" spans="1:12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5">
        <v>25</v>
      </c>
      <c r="I888" s="5">
        <v>100</v>
      </c>
      <c r="J888" s="2" t="str">
        <f>TEXT(Table1[[#This Row],[Date]],"mmm")</f>
        <v>Jun</v>
      </c>
      <c r="K888" t="str" cm="1">
        <f t="array" ref="K888">_xlfn.IFS(Table1[[#This Row],[Age]]&lt;25,"18-24",Table1[[#This Row],[Age]]&lt;35,"25-34",Table1[[#This Row],[Age]]&lt;45,"35-44",Table1[[#This Row],[Age]]&lt;55,"45-54",TRUE,"55+")</f>
        <v>55+</v>
      </c>
      <c r="L888" t="str">
        <f>"Q"&amp;ROUNDUP(MONTH(Table1[[#This Row],[Date]])/3,0)</f>
        <v>Q2</v>
      </c>
    </row>
    <row r="889" spans="1:12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5">
        <v>25</v>
      </c>
      <c r="I889" s="5">
        <v>100</v>
      </c>
      <c r="J889" s="2" t="str">
        <f>TEXT(Table1[[#This Row],[Date]],"mmm")</f>
        <v>Mar</v>
      </c>
      <c r="K889" t="str" cm="1">
        <f t="array" ref="K889">_xlfn.IFS(Table1[[#This Row],[Age]]&lt;25,"18-24",Table1[[#This Row],[Age]]&lt;35,"25-34",Table1[[#This Row],[Age]]&lt;45,"35-44",Table1[[#This Row],[Age]]&lt;55,"45-54",TRUE,"55+")</f>
        <v>45-54</v>
      </c>
      <c r="L889" t="str">
        <f>"Q"&amp;ROUNDUP(MONTH(Table1[[#This Row],[Date]])/3,0)</f>
        <v>Q1</v>
      </c>
    </row>
    <row r="890" spans="1:12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5">
        <v>50</v>
      </c>
      <c r="I890" s="5">
        <v>50</v>
      </c>
      <c r="J890" s="2" t="str">
        <f>TEXT(Table1[[#This Row],[Date]],"mmm")</f>
        <v>Oct</v>
      </c>
      <c r="K890" t="str" cm="1">
        <f t="array" ref="K890">_xlfn.IFS(Table1[[#This Row],[Age]]&lt;25,"18-24",Table1[[#This Row],[Age]]&lt;35,"25-34",Table1[[#This Row],[Age]]&lt;45,"35-44",Table1[[#This Row],[Age]]&lt;55,"45-54",TRUE,"55+")</f>
        <v>35-44</v>
      </c>
      <c r="L890" t="str">
        <f>"Q"&amp;ROUNDUP(MONTH(Table1[[#This Row],[Date]])/3,0)</f>
        <v>Q4</v>
      </c>
    </row>
    <row r="891" spans="1:12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5">
        <v>25</v>
      </c>
      <c r="I891" s="5">
        <v>50</v>
      </c>
      <c r="J891" s="2" t="str">
        <f>TEXT(Table1[[#This Row],[Date]],"mmm")</f>
        <v>Dec</v>
      </c>
      <c r="K891" t="str" cm="1">
        <f t="array" ref="K891">_xlfn.IFS(Table1[[#This Row],[Age]]&lt;25,"18-24",Table1[[#This Row],[Age]]&lt;35,"25-34",Table1[[#This Row],[Age]]&lt;45,"35-44",Table1[[#This Row],[Age]]&lt;55,"45-54",TRUE,"55+")</f>
        <v>25-34</v>
      </c>
      <c r="L891" t="str">
        <f>"Q"&amp;ROUNDUP(MONTH(Table1[[#This Row],[Date]])/3,0)</f>
        <v>Q4</v>
      </c>
    </row>
    <row r="892" spans="1:12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5">
        <v>300</v>
      </c>
      <c r="I892" s="5">
        <v>900</v>
      </c>
      <c r="J892" s="2" t="str">
        <f>TEXT(Table1[[#This Row],[Date]],"mmm")</f>
        <v>Apr</v>
      </c>
      <c r="K892" t="str" cm="1">
        <f t="array" ref="K892">_xlfn.IFS(Table1[[#This Row],[Age]]&lt;25,"18-24",Table1[[#This Row],[Age]]&lt;35,"25-34",Table1[[#This Row],[Age]]&lt;45,"35-44",Table1[[#This Row],[Age]]&lt;55,"45-54",TRUE,"55+")</f>
        <v>35-44</v>
      </c>
      <c r="L892" t="str">
        <f>"Q"&amp;ROUNDUP(MONTH(Table1[[#This Row],[Date]])/3,0)</f>
        <v>Q2</v>
      </c>
    </row>
    <row r="893" spans="1:12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5">
        <v>50</v>
      </c>
      <c r="I893" s="5">
        <v>50</v>
      </c>
      <c r="J893" s="2" t="str">
        <f>TEXT(Table1[[#This Row],[Date]],"mmm")</f>
        <v>Apr</v>
      </c>
      <c r="K893" t="str" cm="1">
        <f t="array" ref="K893">_xlfn.IFS(Table1[[#This Row],[Age]]&lt;25,"18-24",Table1[[#This Row],[Age]]&lt;35,"25-34",Table1[[#This Row],[Age]]&lt;45,"35-44",Table1[[#This Row],[Age]]&lt;55,"45-54",TRUE,"55+")</f>
        <v>18-24</v>
      </c>
      <c r="L893" t="str">
        <f>"Q"&amp;ROUNDUP(MONTH(Table1[[#This Row],[Date]])/3,0)</f>
        <v>Q2</v>
      </c>
    </row>
    <row r="894" spans="1:12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5">
        <v>50</v>
      </c>
      <c r="I894" s="5">
        <v>50</v>
      </c>
      <c r="J894" s="2" t="str">
        <f>TEXT(Table1[[#This Row],[Date]],"mmm")</f>
        <v>Apr</v>
      </c>
      <c r="K894" t="str" cm="1">
        <f t="array" ref="K894">_xlfn.IFS(Table1[[#This Row],[Age]]&lt;25,"18-24",Table1[[#This Row],[Age]]&lt;35,"25-34",Table1[[#This Row],[Age]]&lt;45,"35-44",Table1[[#This Row],[Age]]&lt;55,"45-54",TRUE,"55+")</f>
        <v>45-54</v>
      </c>
      <c r="L894" t="str">
        <f>"Q"&amp;ROUNDUP(MONTH(Table1[[#This Row],[Date]])/3,0)</f>
        <v>Q2</v>
      </c>
    </row>
    <row r="895" spans="1:12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5">
        <v>30</v>
      </c>
      <c r="I895" s="5">
        <v>30</v>
      </c>
      <c r="J895" s="2" t="str">
        <f>TEXT(Table1[[#This Row],[Date]],"mmm")</f>
        <v>Sep</v>
      </c>
      <c r="K895" t="str" cm="1">
        <f t="array" ref="K895">_xlfn.IFS(Table1[[#This Row],[Age]]&lt;25,"18-24",Table1[[#This Row],[Age]]&lt;35,"25-34",Table1[[#This Row],[Age]]&lt;45,"35-44",Table1[[#This Row],[Age]]&lt;55,"45-54",TRUE,"55+")</f>
        <v>45-54</v>
      </c>
      <c r="L895" t="str">
        <f>"Q"&amp;ROUNDUP(MONTH(Table1[[#This Row],[Date]])/3,0)</f>
        <v>Q3</v>
      </c>
    </row>
    <row r="896" spans="1:12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5">
        <v>30</v>
      </c>
      <c r="I896" s="5">
        <v>120</v>
      </c>
      <c r="J896" s="2" t="str">
        <f>TEXT(Table1[[#This Row],[Date]],"mmm")</f>
        <v>May</v>
      </c>
      <c r="K896" t="str" cm="1">
        <f t="array" ref="K896">_xlfn.IFS(Table1[[#This Row],[Age]]&lt;25,"18-24",Table1[[#This Row],[Age]]&lt;35,"25-34",Table1[[#This Row],[Age]]&lt;45,"35-44",Table1[[#This Row],[Age]]&lt;55,"45-54",TRUE,"55+")</f>
        <v>55+</v>
      </c>
      <c r="L896" t="str">
        <f>"Q"&amp;ROUNDUP(MONTH(Table1[[#This Row],[Date]])/3,0)</f>
        <v>Q2</v>
      </c>
    </row>
    <row r="897" spans="1:12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5">
        <v>25</v>
      </c>
      <c r="I897" s="5">
        <v>50</v>
      </c>
      <c r="J897" s="2" t="str">
        <f>TEXT(Table1[[#This Row],[Date]],"mmm")</f>
        <v>Oct</v>
      </c>
      <c r="K897" t="str" cm="1">
        <f t="array" ref="K897">_xlfn.IFS(Table1[[#This Row],[Age]]&lt;25,"18-24",Table1[[#This Row],[Age]]&lt;35,"25-34",Table1[[#This Row],[Age]]&lt;45,"35-44",Table1[[#This Row],[Age]]&lt;55,"45-54",TRUE,"55+")</f>
        <v>25-34</v>
      </c>
      <c r="L897" t="str">
        <f>"Q"&amp;ROUNDUP(MONTH(Table1[[#This Row],[Date]])/3,0)</f>
        <v>Q4</v>
      </c>
    </row>
    <row r="898" spans="1:12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5">
        <v>50</v>
      </c>
      <c r="I898" s="5">
        <v>100</v>
      </c>
      <c r="J898" s="2" t="str">
        <f>TEXT(Table1[[#This Row],[Date]],"mmm")</f>
        <v>Sep</v>
      </c>
      <c r="K898" t="str" cm="1">
        <f t="array" ref="K898">_xlfn.IFS(Table1[[#This Row],[Age]]&lt;25,"18-24",Table1[[#This Row],[Age]]&lt;35,"25-34",Table1[[#This Row],[Age]]&lt;45,"35-44",Table1[[#This Row],[Age]]&lt;55,"45-54",TRUE,"55+")</f>
        <v>55+</v>
      </c>
      <c r="L898" t="str">
        <f>"Q"&amp;ROUNDUP(MONTH(Table1[[#This Row],[Date]])/3,0)</f>
        <v>Q3</v>
      </c>
    </row>
    <row r="899" spans="1:12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5">
        <v>30</v>
      </c>
      <c r="I899" s="5">
        <v>90</v>
      </c>
      <c r="J899" s="2" t="str">
        <f>TEXT(Table1[[#This Row],[Date]],"mmm")</f>
        <v>Nov</v>
      </c>
      <c r="K899" t="str" cm="1">
        <f t="array" ref="K899">_xlfn.IFS(Table1[[#This Row],[Age]]&lt;25,"18-24",Table1[[#This Row],[Age]]&lt;35,"25-34",Table1[[#This Row],[Age]]&lt;45,"35-44",Table1[[#This Row],[Age]]&lt;55,"45-54",TRUE,"55+")</f>
        <v>35-44</v>
      </c>
      <c r="L899" t="str">
        <f>"Q"&amp;ROUNDUP(MONTH(Table1[[#This Row],[Date]])/3,0)</f>
        <v>Q4</v>
      </c>
    </row>
    <row r="900" spans="1:12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5">
        <v>300</v>
      </c>
      <c r="I900" s="5">
        <v>600</v>
      </c>
      <c r="J900" s="2" t="str">
        <f>TEXT(Table1[[#This Row],[Date]],"mmm")</f>
        <v>May</v>
      </c>
      <c r="K900" t="str" cm="1">
        <f t="array" ref="K900">_xlfn.IFS(Table1[[#This Row],[Age]]&lt;25,"18-24",Table1[[#This Row],[Age]]&lt;35,"25-34",Table1[[#This Row],[Age]]&lt;45,"35-44",Table1[[#This Row],[Age]]&lt;55,"45-54",TRUE,"55+")</f>
        <v>25-34</v>
      </c>
      <c r="L900" t="str">
        <f>"Q"&amp;ROUNDUP(MONTH(Table1[[#This Row],[Date]])/3,0)</f>
        <v>Q2</v>
      </c>
    </row>
    <row r="901" spans="1:12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5">
        <v>30</v>
      </c>
      <c r="I901" s="5">
        <v>60</v>
      </c>
      <c r="J901" s="2" t="str">
        <f>TEXT(Table1[[#This Row],[Date]],"mmm")</f>
        <v>Feb</v>
      </c>
      <c r="K901" t="str" cm="1">
        <f t="array" ref="K901">_xlfn.IFS(Table1[[#This Row],[Age]]&lt;25,"18-24",Table1[[#This Row],[Age]]&lt;35,"25-34",Table1[[#This Row],[Age]]&lt;45,"35-44",Table1[[#This Row],[Age]]&lt;55,"45-54",TRUE,"55+")</f>
        <v>18-24</v>
      </c>
      <c r="L901" t="str">
        <f>"Q"&amp;ROUNDUP(MONTH(Table1[[#This Row],[Date]])/3,0)</f>
        <v>Q1</v>
      </c>
    </row>
    <row r="902" spans="1:12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5">
        <v>30</v>
      </c>
      <c r="I902" s="5">
        <v>30</v>
      </c>
      <c r="J902" s="2" t="str">
        <f>TEXT(Table1[[#This Row],[Date]],"mmm")</f>
        <v>Apr</v>
      </c>
      <c r="K902" t="str" cm="1">
        <f t="array" ref="K902">_xlfn.IFS(Table1[[#This Row],[Age]]&lt;25,"18-24",Table1[[#This Row],[Age]]&lt;35,"25-34",Table1[[#This Row],[Age]]&lt;45,"35-44",Table1[[#This Row],[Age]]&lt;55,"45-54",TRUE,"55+")</f>
        <v>25-34</v>
      </c>
      <c r="L902" t="str">
        <f>"Q"&amp;ROUNDUP(MONTH(Table1[[#This Row],[Date]])/3,0)</f>
        <v>Q2</v>
      </c>
    </row>
    <row r="903" spans="1:12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5">
        <v>50</v>
      </c>
      <c r="I903" s="5">
        <v>50</v>
      </c>
      <c r="J903" s="2" t="str">
        <f>TEXT(Table1[[#This Row],[Date]],"mmm")</f>
        <v>Jun</v>
      </c>
      <c r="K903" t="str" cm="1">
        <f t="array" ref="K903">_xlfn.IFS(Table1[[#This Row],[Age]]&lt;25,"18-24",Table1[[#This Row],[Age]]&lt;35,"25-34",Table1[[#This Row],[Age]]&lt;45,"35-44",Table1[[#This Row],[Age]]&lt;55,"45-54",TRUE,"55+")</f>
        <v>45-54</v>
      </c>
      <c r="L903" t="str">
        <f>"Q"&amp;ROUNDUP(MONTH(Table1[[#This Row],[Date]])/3,0)</f>
        <v>Q2</v>
      </c>
    </row>
    <row r="904" spans="1:12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5">
        <v>50</v>
      </c>
      <c r="I904" s="5">
        <v>200</v>
      </c>
      <c r="J904" s="2" t="str">
        <f>TEXT(Table1[[#This Row],[Date]],"mmm")</f>
        <v>Apr</v>
      </c>
      <c r="K904" t="str" cm="1">
        <f t="array" ref="K904">_xlfn.IFS(Table1[[#This Row],[Age]]&lt;25,"18-24",Table1[[#This Row],[Age]]&lt;35,"25-34",Table1[[#This Row],[Age]]&lt;45,"35-44",Table1[[#This Row],[Age]]&lt;55,"45-54",TRUE,"55+")</f>
        <v>45-54</v>
      </c>
      <c r="L904" t="str">
        <f>"Q"&amp;ROUNDUP(MONTH(Table1[[#This Row],[Date]])/3,0)</f>
        <v>Q2</v>
      </c>
    </row>
    <row r="905" spans="1:12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5">
        <v>500</v>
      </c>
      <c r="I905" s="5">
        <v>500</v>
      </c>
      <c r="J905" s="2" t="str">
        <f>TEXT(Table1[[#This Row],[Date]],"mmm")</f>
        <v>Jul</v>
      </c>
      <c r="K905" t="str" cm="1">
        <f t="array" ref="K905">_xlfn.IFS(Table1[[#This Row],[Age]]&lt;25,"18-24",Table1[[#This Row],[Age]]&lt;35,"25-34",Table1[[#This Row],[Age]]&lt;45,"35-44",Table1[[#This Row],[Age]]&lt;55,"45-54",TRUE,"55+")</f>
        <v>25-34</v>
      </c>
      <c r="L905" t="str">
        <f>"Q"&amp;ROUNDUP(MONTH(Table1[[#This Row],[Date]])/3,0)</f>
        <v>Q3</v>
      </c>
    </row>
    <row r="906" spans="1:12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5">
        <v>300</v>
      </c>
      <c r="I906" s="5">
        <v>300</v>
      </c>
      <c r="J906" s="2" t="str">
        <f>TEXT(Table1[[#This Row],[Date]],"mmm")</f>
        <v>Apr</v>
      </c>
      <c r="K906" t="str" cm="1">
        <f t="array" ref="K906">_xlfn.IFS(Table1[[#This Row],[Age]]&lt;25,"18-24",Table1[[#This Row],[Age]]&lt;35,"25-34",Table1[[#This Row],[Age]]&lt;45,"35-44",Table1[[#This Row],[Age]]&lt;55,"45-54",TRUE,"55+")</f>
        <v>55+</v>
      </c>
      <c r="L906" t="str">
        <f>"Q"&amp;ROUNDUP(MONTH(Table1[[#This Row],[Date]])/3,0)</f>
        <v>Q2</v>
      </c>
    </row>
    <row r="907" spans="1:12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5">
        <v>50</v>
      </c>
      <c r="I907" s="5">
        <v>50</v>
      </c>
      <c r="J907" s="2" t="str">
        <f>TEXT(Table1[[#This Row],[Date]],"mmm")</f>
        <v>Jun</v>
      </c>
      <c r="K907" t="str" cm="1">
        <f t="array" ref="K907">_xlfn.IFS(Table1[[#This Row],[Age]]&lt;25,"18-24",Table1[[#This Row],[Age]]&lt;35,"25-34",Table1[[#This Row],[Age]]&lt;45,"35-44",Table1[[#This Row],[Age]]&lt;55,"45-54",TRUE,"55+")</f>
        <v>18-24</v>
      </c>
      <c r="L907" t="str">
        <f>"Q"&amp;ROUNDUP(MONTH(Table1[[#This Row],[Date]])/3,0)</f>
        <v>Q2</v>
      </c>
    </row>
    <row r="908" spans="1:12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5">
        <v>25</v>
      </c>
      <c r="I908" s="5">
        <v>25</v>
      </c>
      <c r="J908" s="2" t="str">
        <f>TEXT(Table1[[#This Row],[Date]],"mmm")</f>
        <v>Jan</v>
      </c>
      <c r="K908" t="str" cm="1">
        <f t="array" ref="K908">_xlfn.IFS(Table1[[#This Row],[Age]]&lt;25,"18-24",Table1[[#This Row],[Age]]&lt;35,"25-34",Table1[[#This Row],[Age]]&lt;45,"35-44",Table1[[#This Row],[Age]]&lt;55,"45-54",TRUE,"55+")</f>
        <v>45-54</v>
      </c>
      <c r="L908" t="str">
        <f>"Q"&amp;ROUNDUP(MONTH(Table1[[#This Row],[Date]])/3,0)</f>
        <v>Q1</v>
      </c>
    </row>
    <row r="909" spans="1:12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5">
        <v>300</v>
      </c>
      <c r="I909" s="5">
        <v>1200</v>
      </c>
      <c r="J909" s="2" t="str">
        <f>TEXT(Table1[[#This Row],[Date]],"mmm")</f>
        <v>Dec</v>
      </c>
      <c r="K909" t="str" cm="1">
        <f t="array" ref="K909">_xlfn.IFS(Table1[[#This Row],[Age]]&lt;25,"18-24",Table1[[#This Row],[Age]]&lt;35,"25-34",Table1[[#This Row],[Age]]&lt;45,"35-44",Table1[[#This Row],[Age]]&lt;55,"45-54",TRUE,"55+")</f>
        <v>45-54</v>
      </c>
      <c r="L909" t="str">
        <f>"Q"&amp;ROUNDUP(MONTH(Table1[[#This Row],[Date]])/3,0)</f>
        <v>Q4</v>
      </c>
    </row>
    <row r="910" spans="1:12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5">
        <v>300</v>
      </c>
      <c r="I910" s="5">
        <v>300</v>
      </c>
      <c r="J910" s="2" t="str">
        <f>TEXT(Table1[[#This Row],[Date]],"mmm")</f>
        <v>Oct</v>
      </c>
      <c r="K910" t="str" cm="1">
        <f t="array" ref="K910">_xlfn.IFS(Table1[[#This Row],[Age]]&lt;25,"18-24",Table1[[#This Row],[Age]]&lt;35,"25-34",Table1[[#This Row],[Age]]&lt;45,"35-44",Table1[[#This Row],[Age]]&lt;55,"45-54",TRUE,"55+")</f>
        <v>25-34</v>
      </c>
      <c r="L910" t="str">
        <f>"Q"&amp;ROUNDUP(MONTH(Table1[[#This Row],[Date]])/3,0)</f>
        <v>Q4</v>
      </c>
    </row>
    <row r="911" spans="1:12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5">
        <v>50</v>
      </c>
      <c r="I911" s="5">
        <v>150</v>
      </c>
      <c r="J911" s="2" t="str">
        <f>TEXT(Table1[[#This Row],[Date]],"mmm")</f>
        <v>Mar</v>
      </c>
      <c r="K911" t="str" cm="1">
        <f t="array" ref="K911">_xlfn.IFS(Table1[[#This Row],[Age]]&lt;25,"18-24",Table1[[#This Row],[Age]]&lt;35,"25-34",Table1[[#This Row],[Age]]&lt;45,"35-44",Table1[[#This Row],[Age]]&lt;55,"45-54",TRUE,"55+")</f>
        <v>18-24</v>
      </c>
      <c r="L911" t="str">
        <f>"Q"&amp;ROUNDUP(MONTH(Table1[[#This Row],[Date]])/3,0)</f>
        <v>Q1</v>
      </c>
    </row>
    <row r="912" spans="1:12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5">
        <v>300</v>
      </c>
      <c r="I912" s="5">
        <v>900</v>
      </c>
      <c r="J912" s="2" t="str">
        <f>TEXT(Table1[[#This Row],[Date]],"mmm")</f>
        <v>May</v>
      </c>
      <c r="K912" t="str" cm="1">
        <f t="array" ref="K912">_xlfn.IFS(Table1[[#This Row],[Age]]&lt;25,"18-24",Table1[[#This Row],[Age]]&lt;35,"25-34",Table1[[#This Row],[Age]]&lt;45,"35-44",Table1[[#This Row],[Age]]&lt;55,"45-54",TRUE,"55+")</f>
        <v>35-44</v>
      </c>
      <c r="L912" t="str">
        <f>"Q"&amp;ROUNDUP(MONTH(Table1[[#This Row],[Date]])/3,0)</f>
        <v>Q2</v>
      </c>
    </row>
    <row r="913" spans="1:12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5">
        <v>50</v>
      </c>
      <c r="I913" s="5">
        <v>150</v>
      </c>
      <c r="J913" s="2" t="str">
        <f>TEXT(Table1[[#This Row],[Date]],"mmm")</f>
        <v>Jan</v>
      </c>
      <c r="K913" t="str" cm="1">
        <f t="array" ref="K913">_xlfn.IFS(Table1[[#This Row],[Age]]&lt;25,"18-24",Table1[[#This Row],[Age]]&lt;35,"25-34",Table1[[#This Row],[Age]]&lt;45,"35-44",Table1[[#This Row],[Age]]&lt;55,"45-54",TRUE,"55+")</f>
        <v>45-54</v>
      </c>
      <c r="L913" t="str">
        <f>"Q"&amp;ROUNDUP(MONTH(Table1[[#This Row],[Date]])/3,0)</f>
        <v>Q1</v>
      </c>
    </row>
    <row r="914" spans="1:12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5">
        <v>30</v>
      </c>
      <c r="I914" s="5">
        <v>90</v>
      </c>
      <c r="J914" s="2" t="str">
        <f>TEXT(Table1[[#This Row],[Date]],"mmm")</f>
        <v>Jan</v>
      </c>
      <c r="K914" t="str" cm="1">
        <f t="array" ref="K914">_xlfn.IFS(Table1[[#This Row],[Age]]&lt;25,"18-24",Table1[[#This Row],[Age]]&lt;35,"25-34",Table1[[#This Row],[Age]]&lt;45,"35-44",Table1[[#This Row],[Age]]&lt;55,"45-54",TRUE,"55+")</f>
        <v>25-34</v>
      </c>
      <c r="L914" t="str">
        <f>"Q"&amp;ROUNDUP(MONTH(Table1[[#This Row],[Date]])/3,0)</f>
        <v>Q1</v>
      </c>
    </row>
    <row r="915" spans="1:12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5">
        <v>500</v>
      </c>
      <c r="I915" s="5">
        <v>500</v>
      </c>
      <c r="J915" s="2" t="str">
        <f>TEXT(Table1[[#This Row],[Date]],"mmm")</f>
        <v>Oct</v>
      </c>
      <c r="K915" t="str" cm="1">
        <f t="array" ref="K915">_xlfn.IFS(Table1[[#This Row],[Age]]&lt;25,"18-24",Table1[[#This Row],[Age]]&lt;35,"25-34",Table1[[#This Row],[Age]]&lt;45,"35-44",Table1[[#This Row],[Age]]&lt;55,"45-54",TRUE,"55+")</f>
        <v>55+</v>
      </c>
      <c r="L915" t="str">
        <f>"Q"&amp;ROUNDUP(MONTH(Table1[[#This Row],[Date]])/3,0)</f>
        <v>Q4</v>
      </c>
    </row>
    <row r="916" spans="1:12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5">
        <v>30</v>
      </c>
      <c r="I916" s="5">
        <v>90</v>
      </c>
      <c r="J916" s="2" t="str">
        <f>TEXT(Table1[[#This Row],[Date]],"mmm")</f>
        <v>May</v>
      </c>
      <c r="K916" t="str" cm="1">
        <f t="array" ref="K916">_xlfn.IFS(Table1[[#This Row],[Age]]&lt;25,"18-24",Table1[[#This Row],[Age]]&lt;35,"25-34",Table1[[#This Row],[Age]]&lt;45,"35-44",Table1[[#This Row],[Age]]&lt;55,"45-54",TRUE,"55+")</f>
        <v>25-34</v>
      </c>
      <c r="L916" t="str">
        <f>"Q"&amp;ROUNDUP(MONTH(Table1[[#This Row],[Date]])/3,0)</f>
        <v>Q2</v>
      </c>
    </row>
    <row r="917" spans="1:12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5">
        <v>50</v>
      </c>
      <c r="I917" s="5">
        <v>50</v>
      </c>
      <c r="J917" s="2" t="str">
        <f>TEXT(Table1[[#This Row],[Date]],"mmm")</f>
        <v>Dec</v>
      </c>
      <c r="K917" t="str" cm="1">
        <f t="array" ref="K917">_xlfn.IFS(Table1[[#This Row],[Age]]&lt;25,"18-24",Table1[[#This Row],[Age]]&lt;35,"25-34",Table1[[#This Row],[Age]]&lt;45,"35-44",Table1[[#This Row],[Age]]&lt;55,"45-54",TRUE,"55+")</f>
        <v>25-34</v>
      </c>
      <c r="L917" t="str">
        <f>"Q"&amp;ROUNDUP(MONTH(Table1[[#This Row],[Date]])/3,0)</f>
        <v>Q4</v>
      </c>
    </row>
    <row r="918" spans="1:12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5">
        <v>50</v>
      </c>
      <c r="I918" s="5">
        <v>200</v>
      </c>
      <c r="J918" s="2" t="str">
        <f>TEXT(Table1[[#This Row],[Date]],"mmm")</f>
        <v>Mar</v>
      </c>
      <c r="K918" t="str" cm="1">
        <f t="array" ref="K918">_xlfn.IFS(Table1[[#This Row],[Age]]&lt;25,"18-24",Table1[[#This Row],[Age]]&lt;35,"25-34",Table1[[#This Row],[Age]]&lt;45,"35-44",Table1[[#This Row],[Age]]&lt;55,"45-54",TRUE,"55+")</f>
        <v>55+</v>
      </c>
      <c r="L918" t="str">
        <f>"Q"&amp;ROUNDUP(MONTH(Table1[[#This Row],[Date]])/3,0)</f>
        <v>Q1</v>
      </c>
    </row>
    <row r="919" spans="1:12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5">
        <v>30</v>
      </c>
      <c r="I919" s="5">
        <v>90</v>
      </c>
      <c r="J919" s="2" t="str">
        <f>TEXT(Table1[[#This Row],[Date]],"mmm")</f>
        <v>Nov</v>
      </c>
      <c r="K919" t="str" cm="1">
        <f t="array" ref="K919">_xlfn.IFS(Table1[[#This Row],[Age]]&lt;25,"18-24",Table1[[#This Row],[Age]]&lt;35,"25-34",Table1[[#This Row],[Age]]&lt;45,"35-44",Table1[[#This Row],[Age]]&lt;55,"45-54",TRUE,"55+")</f>
        <v>35-44</v>
      </c>
      <c r="L919" t="str">
        <f>"Q"&amp;ROUNDUP(MONTH(Table1[[#This Row],[Date]])/3,0)</f>
        <v>Q4</v>
      </c>
    </row>
    <row r="920" spans="1:12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5">
        <v>25</v>
      </c>
      <c r="I920" s="5">
        <v>50</v>
      </c>
      <c r="J920" s="2" t="str">
        <f>TEXT(Table1[[#This Row],[Date]],"mmm")</f>
        <v>Sep</v>
      </c>
      <c r="K920" t="str" cm="1">
        <f t="array" ref="K920">_xlfn.IFS(Table1[[#This Row],[Age]]&lt;25,"18-24",Table1[[#This Row],[Age]]&lt;35,"25-34",Table1[[#This Row],[Age]]&lt;45,"35-44",Table1[[#This Row],[Age]]&lt;55,"45-54",TRUE,"55+")</f>
        <v>18-24</v>
      </c>
      <c r="L920" t="str">
        <f>"Q"&amp;ROUNDUP(MONTH(Table1[[#This Row],[Date]])/3,0)</f>
        <v>Q3</v>
      </c>
    </row>
    <row r="921" spans="1:12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5">
        <v>25</v>
      </c>
      <c r="I921" s="5">
        <v>75</v>
      </c>
      <c r="J921" s="2" t="str">
        <f>TEXT(Table1[[#This Row],[Date]],"mmm")</f>
        <v>Feb</v>
      </c>
      <c r="K921" t="str" cm="1">
        <f t="array" ref="K921">_xlfn.IFS(Table1[[#This Row],[Age]]&lt;25,"18-24",Table1[[#This Row],[Age]]&lt;35,"25-34",Table1[[#This Row],[Age]]&lt;45,"35-44",Table1[[#This Row],[Age]]&lt;55,"45-54",TRUE,"55+")</f>
        <v>25-34</v>
      </c>
      <c r="L921" t="str">
        <f>"Q"&amp;ROUNDUP(MONTH(Table1[[#This Row],[Date]])/3,0)</f>
        <v>Q1</v>
      </c>
    </row>
    <row r="922" spans="1:12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5">
        <v>25</v>
      </c>
      <c r="I922" s="5">
        <v>75</v>
      </c>
      <c r="J922" s="2" t="str">
        <f>TEXT(Table1[[#This Row],[Date]],"mmm")</f>
        <v>Jan</v>
      </c>
      <c r="K922" t="str" cm="1">
        <f t="array" ref="K922">_xlfn.IFS(Table1[[#This Row],[Age]]&lt;25,"18-24",Table1[[#This Row],[Age]]&lt;35,"25-34",Table1[[#This Row],[Age]]&lt;45,"35-44",Table1[[#This Row],[Age]]&lt;55,"45-54",TRUE,"55+")</f>
        <v>45-54</v>
      </c>
      <c r="L922" t="str">
        <f>"Q"&amp;ROUNDUP(MONTH(Table1[[#This Row],[Date]])/3,0)</f>
        <v>Q1</v>
      </c>
    </row>
    <row r="923" spans="1:12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5">
        <v>50</v>
      </c>
      <c r="I923" s="5">
        <v>50</v>
      </c>
      <c r="J923" s="2" t="str">
        <f>TEXT(Table1[[#This Row],[Date]],"mmm")</f>
        <v>Oct</v>
      </c>
      <c r="K923" t="str" cm="1">
        <f t="array" ref="K923">_xlfn.IFS(Table1[[#This Row],[Age]]&lt;25,"18-24",Table1[[#This Row],[Age]]&lt;35,"25-34",Table1[[#This Row],[Age]]&lt;45,"35-44",Table1[[#This Row],[Age]]&lt;55,"45-54",TRUE,"55+")</f>
        <v>35-44</v>
      </c>
      <c r="L923" t="str">
        <f>"Q"&amp;ROUNDUP(MONTH(Table1[[#This Row],[Date]])/3,0)</f>
        <v>Q4</v>
      </c>
    </row>
    <row r="924" spans="1:12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5">
        <v>300</v>
      </c>
      <c r="I924" s="5">
        <v>900</v>
      </c>
      <c r="J924" s="2" t="str">
        <f>TEXT(Table1[[#This Row],[Date]],"mmm")</f>
        <v>May</v>
      </c>
      <c r="K924" t="str" cm="1">
        <f t="array" ref="K924">_xlfn.IFS(Table1[[#This Row],[Age]]&lt;25,"18-24",Table1[[#This Row],[Age]]&lt;35,"25-34",Table1[[#This Row],[Age]]&lt;45,"35-44",Table1[[#This Row],[Age]]&lt;55,"45-54",TRUE,"55+")</f>
        <v>25-34</v>
      </c>
      <c r="L924" t="str">
        <f>"Q"&amp;ROUNDUP(MONTH(Table1[[#This Row],[Date]])/3,0)</f>
        <v>Q2</v>
      </c>
    </row>
    <row r="925" spans="1:12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5">
        <v>50</v>
      </c>
      <c r="I925" s="5">
        <v>100</v>
      </c>
      <c r="J925" s="2" t="str">
        <f>TEXT(Table1[[#This Row],[Date]],"mmm")</f>
        <v>Aug</v>
      </c>
      <c r="K925" t="str" cm="1">
        <f t="array" ref="K925">_xlfn.IFS(Table1[[#This Row],[Age]]&lt;25,"18-24",Table1[[#This Row],[Age]]&lt;35,"25-34",Table1[[#This Row],[Age]]&lt;45,"35-44",Table1[[#This Row],[Age]]&lt;55,"45-54",TRUE,"55+")</f>
        <v>55+</v>
      </c>
      <c r="L925" t="str">
        <f>"Q"&amp;ROUNDUP(MONTH(Table1[[#This Row],[Date]])/3,0)</f>
        <v>Q3</v>
      </c>
    </row>
    <row r="926" spans="1:12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5">
        <v>300</v>
      </c>
      <c r="I926" s="5">
        <v>300</v>
      </c>
      <c r="J926" s="2" t="str">
        <f>TEXT(Table1[[#This Row],[Date]],"mmm")</f>
        <v>Sep</v>
      </c>
      <c r="K926" t="str" cm="1">
        <f t="array" ref="K926">_xlfn.IFS(Table1[[#This Row],[Age]]&lt;25,"18-24",Table1[[#This Row],[Age]]&lt;35,"25-34",Table1[[#This Row],[Age]]&lt;45,"35-44",Table1[[#This Row],[Age]]&lt;55,"45-54",TRUE,"55+")</f>
        <v>25-34</v>
      </c>
      <c r="L926" t="str">
        <f>"Q"&amp;ROUNDUP(MONTH(Table1[[#This Row],[Date]])/3,0)</f>
        <v>Q3</v>
      </c>
    </row>
    <row r="927" spans="1:12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5">
        <v>30</v>
      </c>
      <c r="I927" s="5">
        <v>30</v>
      </c>
      <c r="J927" s="2" t="str">
        <f>TEXT(Table1[[#This Row],[Date]],"mmm")</f>
        <v>Aug</v>
      </c>
      <c r="K927" t="str" cm="1">
        <f t="array" ref="K927">_xlfn.IFS(Table1[[#This Row],[Age]]&lt;25,"18-24",Table1[[#This Row],[Age]]&lt;35,"25-34",Table1[[#This Row],[Age]]&lt;45,"35-44",Table1[[#This Row],[Age]]&lt;55,"45-54",TRUE,"55+")</f>
        <v>18-24</v>
      </c>
      <c r="L927" t="str">
        <f>"Q"&amp;ROUNDUP(MONTH(Table1[[#This Row],[Date]])/3,0)</f>
        <v>Q3</v>
      </c>
    </row>
    <row r="928" spans="1:12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5">
        <v>500</v>
      </c>
      <c r="I928" s="5">
        <v>2000</v>
      </c>
      <c r="J928" s="2" t="str">
        <f>TEXT(Table1[[#This Row],[Date]],"mmm")</f>
        <v>Jun</v>
      </c>
      <c r="K928" t="str" cm="1">
        <f t="array" ref="K928">_xlfn.IFS(Table1[[#This Row],[Age]]&lt;25,"18-24",Table1[[#This Row],[Age]]&lt;35,"25-34",Table1[[#This Row],[Age]]&lt;45,"35-44",Table1[[#This Row],[Age]]&lt;55,"45-54",TRUE,"55+")</f>
        <v>35-44</v>
      </c>
      <c r="L928" t="str">
        <f>"Q"&amp;ROUNDUP(MONTH(Table1[[#This Row],[Date]])/3,0)</f>
        <v>Q2</v>
      </c>
    </row>
    <row r="929" spans="1:12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5">
        <v>300</v>
      </c>
      <c r="I929" s="5">
        <v>1200</v>
      </c>
      <c r="J929" s="2" t="str">
        <f>TEXT(Table1[[#This Row],[Date]],"mmm")</f>
        <v>Apr</v>
      </c>
      <c r="K929" t="str" cm="1">
        <f t="array" ref="K929">_xlfn.IFS(Table1[[#This Row],[Age]]&lt;25,"18-24",Table1[[#This Row],[Age]]&lt;35,"25-34",Table1[[#This Row],[Age]]&lt;45,"35-44",Table1[[#This Row],[Age]]&lt;55,"45-54",TRUE,"55+")</f>
        <v>35-44</v>
      </c>
      <c r="L929" t="str">
        <f>"Q"&amp;ROUNDUP(MONTH(Table1[[#This Row],[Date]])/3,0)</f>
        <v>Q2</v>
      </c>
    </row>
    <row r="930" spans="1:12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5">
        <v>25</v>
      </c>
      <c r="I930" s="5">
        <v>75</v>
      </c>
      <c r="J930" s="2" t="str">
        <f>TEXT(Table1[[#This Row],[Date]],"mmm")</f>
        <v>Jan</v>
      </c>
      <c r="K930" t="str" cm="1">
        <f t="array" ref="K930">_xlfn.IFS(Table1[[#This Row],[Age]]&lt;25,"18-24",Table1[[#This Row],[Age]]&lt;35,"25-34",Table1[[#This Row],[Age]]&lt;45,"35-44",Table1[[#This Row],[Age]]&lt;55,"45-54",TRUE,"55+")</f>
        <v>18-24</v>
      </c>
      <c r="L930" t="str">
        <f>"Q"&amp;ROUNDUP(MONTH(Table1[[#This Row],[Date]])/3,0)</f>
        <v>Q1</v>
      </c>
    </row>
    <row r="931" spans="1:12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5">
        <v>50</v>
      </c>
      <c r="I931" s="5">
        <v>200</v>
      </c>
      <c r="J931" s="2" t="str">
        <f>TEXT(Table1[[#This Row],[Date]],"mmm")</f>
        <v>May</v>
      </c>
      <c r="K931" t="str" cm="1">
        <f t="array" ref="K931">_xlfn.IFS(Table1[[#This Row],[Age]]&lt;25,"18-24",Table1[[#This Row],[Age]]&lt;35,"25-34",Table1[[#This Row],[Age]]&lt;45,"35-44",Table1[[#This Row],[Age]]&lt;55,"45-54",TRUE,"55+")</f>
        <v>45-54</v>
      </c>
      <c r="L931" t="str">
        <f>"Q"&amp;ROUNDUP(MONTH(Table1[[#This Row],[Date]])/3,0)</f>
        <v>Q2</v>
      </c>
    </row>
    <row r="932" spans="1:12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5">
        <v>30</v>
      </c>
      <c r="I932" s="5">
        <v>120</v>
      </c>
      <c r="J932" s="2" t="str">
        <f>TEXT(Table1[[#This Row],[Date]],"mmm")</f>
        <v>Sep</v>
      </c>
      <c r="K932" t="str" cm="1">
        <f t="array" ref="K932">_xlfn.IFS(Table1[[#This Row],[Age]]&lt;25,"18-24",Table1[[#This Row],[Age]]&lt;35,"25-34",Table1[[#This Row],[Age]]&lt;45,"35-44",Table1[[#This Row],[Age]]&lt;55,"45-54",TRUE,"55+")</f>
        <v>25-34</v>
      </c>
      <c r="L932" t="str">
        <f>"Q"&amp;ROUNDUP(MONTH(Table1[[#This Row],[Date]])/3,0)</f>
        <v>Q3</v>
      </c>
    </row>
    <row r="933" spans="1:12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5">
        <v>25</v>
      </c>
      <c r="I933" s="5">
        <v>100</v>
      </c>
      <c r="J933" s="2" t="str">
        <f>TEXT(Table1[[#This Row],[Date]],"mmm")</f>
        <v>Feb</v>
      </c>
      <c r="K933" t="str" cm="1">
        <f t="array" ref="K933">_xlfn.IFS(Table1[[#This Row],[Age]]&lt;25,"18-24",Table1[[#This Row],[Age]]&lt;35,"25-34",Table1[[#This Row],[Age]]&lt;45,"35-44",Table1[[#This Row],[Age]]&lt;55,"45-54",TRUE,"55+")</f>
        <v>45-54</v>
      </c>
      <c r="L933" t="str">
        <f>"Q"&amp;ROUNDUP(MONTH(Table1[[#This Row],[Date]])/3,0)</f>
        <v>Q1</v>
      </c>
    </row>
    <row r="934" spans="1:12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5">
        <v>30</v>
      </c>
      <c r="I934" s="5">
        <v>30</v>
      </c>
      <c r="J934" s="2" t="str">
        <f>TEXT(Table1[[#This Row],[Date]],"mmm")</f>
        <v>Feb</v>
      </c>
      <c r="K934" t="str" cm="1">
        <f t="array" ref="K934">_xlfn.IFS(Table1[[#This Row],[Age]]&lt;25,"18-24",Table1[[#This Row],[Age]]&lt;35,"25-34",Table1[[#This Row],[Age]]&lt;45,"35-44",Table1[[#This Row],[Age]]&lt;55,"45-54",TRUE,"55+")</f>
        <v>18-24</v>
      </c>
      <c r="L934" t="str">
        <f>"Q"&amp;ROUNDUP(MONTH(Table1[[#This Row],[Date]])/3,0)</f>
        <v>Q1</v>
      </c>
    </row>
    <row r="935" spans="1:12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5">
        <v>500</v>
      </c>
      <c r="I935" s="5">
        <v>500</v>
      </c>
      <c r="J935" s="2" t="str">
        <f>TEXT(Table1[[#This Row],[Date]],"mmm")</f>
        <v>Jul</v>
      </c>
      <c r="K935" t="str" cm="1">
        <f t="array" ref="K935">_xlfn.IFS(Table1[[#This Row],[Age]]&lt;25,"18-24",Table1[[#This Row],[Age]]&lt;35,"25-34",Table1[[#This Row],[Age]]&lt;45,"35-44",Table1[[#This Row],[Age]]&lt;55,"45-54",TRUE,"55+")</f>
        <v>25-34</v>
      </c>
      <c r="L935" t="str">
        <f>"Q"&amp;ROUNDUP(MONTH(Table1[[#This Row],[Date]])/3,0)</f>
        <v>Q3</v>
      </c>
    </row>
    <row r="936" spans="1:12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5">
        <v>50</v>
      </c>
      <c r="I936" s="5">
        <v>50</v>
      </c>
      <c r="J936" s="2" t="str">
        <f>TEXT(Table1[[#This Row],[Date]],"mmm")</f>
        <v>Sep</v>
      </c>
      <c r="K936" t="str" cm="1">
        <f t="array" ref="K936">_xlfn.IFS(Table1[[#This Row],[Age]]&lt;25,"18-24",Table1[[#This Row],[Age]]&lt;35,"25-34",Table1[[#This Row],[Age]]&lt;45,"35-44",Table1[[#This Row],[Age]]&lt;55,"45-54",TRUE,"55+")</f>
        <v>25-34</v>
      </c>
      <c r="L936" t="str">
        <f>"Q"&amp;ROUNDUP(MONTH(Table1[[#This Row],[Date]])/3,0)</f>
        <v>Q3</v>
      </c>
    </row>
    <row r="937" spans="1:12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5">
        <v>50</v>
      </c>
      <c r="I937" s="5">
        <v>200</v>
      </c>
      <c r="J937" s="2" t="str">
        <f>TEXT(Table1[[#This Row],[Date]],"mmm")</f>
        <v>Feb</v>
      </c>
      <c r="K937" t="str" cm="1">
        <f t="array" ref="K937">_xlfn.IFS(Table1[[#This Row],[Age]]&lt;25,"18-24",Table1[[#This Row],[Age]]&lt;35,"25-34",Table1[[#This Row],[Age]]&lt;45,"35-44",Table1[[#This Row],[Age]]&lt;55,"45-54",TRUE,"55+")</f>
        <v>55+</v>
      </c>
      <c r="L937" t="str">
        <f>"Q"&amp;ROUNDUP(MONTH(Table1[[#This Row],[Date]])/3,0)</f>
        <v>Q1</v>
      </c>
    </row>
    <row r="938" spans="1:12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5">
        <v>500</v>
      </c>
      <c r="I938" s="5">
        <v>500</v>
      </c>
      <c r="J938" s="2" t="str">
        <f>TEXT(Table1[[#This Row],[Date]],"mmm")</f>
        <v>Oct</v>
      </c>
      <c r="K938" t="str" cm="1">
        <f t="array" ref="K938">_xlfn.IFS(Table1[[#This Row],[Age]]&lt;25,"18-24",Table1[[#This Row],[Age]]&lt;35,"25-34",Table1[[#This Row],[Age]]&lt;45,"35-44",Table1[[#This Row],[Age]]&lt;55,"45-54",TRUE,"55+")</f>
        <v>55+</v>
      </c>
      <c r="L938" t="str">
        <f>"Q"&amp;ROUNDUP(MONTH(Table1[[#This Row],[Date]])/3,0)</f>
        <v>Q4</v>
      </c>
    </row>
    <row r="939" spans="1:12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5">
        <v>50</v>
      </c>
      <c r="I939" s="5">
        <v>200</v>
      </c>
      <c r="J939" s="2" t="str">
        <f>TEXT(Table1[[#This Row],[Date]],"mmm")</f>
        <v>Nov</v>
      </c>
      <c r="K939" t="str" cm="1">
        <f t="array" ref="K939">_xlfn.IFS(Table1[[#This Row],[Age]]&lt;25,"18-24",Table1[[#This Row],[Age]]&lt;35,"25-34",Table1[[#This Row],[Age]]&lt;45,"35-44",Table1[[#This Row],[Age]]&lt;55,"45-54",TRUE,"55+")</f>
        <v>45-54</v>
      </c>
      <c r="L939" t="str">
        <f>"Q"&amp;ROUNDUP(MONTH(Table1[[#This Row],[Date]])/3,0)</f>
        <v>Q4</v>
      </c>
    </row>
    <row r="940" spans="1:12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5">
        <v>300</v>
      </c>
      <c r="I940" s="5">
        <v>300</v>
      </c>
      <c r="J940" s="2" t="str">
        <f>TEXT(Table1[[#This Row],[Date]],"mmm")</f>
        <v>Dec</v>
      </c>
      <c r="K940" t="str" cm="1">
        <f t="array" ref="K940">_xlfn.IFS(Table1[[#This Row],[Age]]&lt;25,"18-24",Table1[[#This Row],[Age]]&lt;35,"25-34",Table1[[#This Row],[Age]]&lt;45,"35-44",Table1[[#This Row],[Age]]&lt;55,"45-54",TRUE,"55+")</f>
        <v>45-54</v>
      </c>
      <c r="L940" t="str">
        <f>"Q"&amp;ROUNDUP(MONTH(Table1[[#This Row],[Date]])/3,0)</f>
        <v>Q4</v>
      </c>
    </row>
    <row r="941" spans="1:12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5">
        <v>30</v>
      </c>
      <c r="I941" s="5">
        <v>30</v>
      </c>
      <c r="J941" s="2" t="str">
        <f>TEXT(Table1[[#This Row],[Date]],"mmm")</f>
        <v>Jan</v>
      </c>
      <c r="K941" t="str" cm="1">
        <f t="array" ref="K941">_xlfn.IFS(Table1[[#This Row],[Age]]&lt;25,"18-24",Table1[[#This Row],[Age]]&lt;35,"25-34",Table1[[#This Row],[Age]]&lt;45,"35-44",Table1[[#This Row],[Age]]&lt;55,"45-54",TRUE,"55+")</f>
        <v>18-24</v>
      </c>
      <c r="L941" t="str">
        <f>"Q"&amp;ROUNDUP(MONTH(Table1[[#This Row],[Date]])/3,0)</f>
        <v>Q1</v>
      </c>
    </row>
    <row r="942" spans="1:12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5">
        <v>25</v>
      </c>
      <c r="I942" s="5">
        <v>50</v>
      </c>
      <c r="J942" s="2" t="str">
        <f>TEXT(Table1[[#This Row],[Date]],"mmm")</f>
        <v>Mar</v>
      </c>
      <c r="K942" t="str" cm="1">
        <f t="array" ref="K942">_xlfn.IFS(Table1[[#This Row],[Age]]&lt;25,"18-24",Table1[[#This Row],[Age]]&lt;35,"25-34",Table1[[#This Row],[Age]]&lt;45,"35-44",Table1[[#This Row],[Age]]&lt;55,"45-54",TRUE,"55+")</f>
        <v>55+</v>
      </c>
      <c r="L942" t="str">
        <f>"Q"&amp;ROUNDUP(MONTH(Table1[[#This Row],[Date]])/3,0)</f>
        <v>Q1</v>
      </c>
    </row>
    <row r="943" spans="1:12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5">
        <v>500</v>
      </c>
      <c r="I943" s="5">
        <v>1500</v>
      </c>
      <c r="J943" s="2" t="str">
        <f>TEXT(Table1[[#This Row],[Date]],"mmm")</f>
        <v>Mar</v>
      </c>
      <c r="K943" t="str" cm="1">
        <f t="array" ref="K943">_xlfn.IFS(Table1[[#This Row],[Age]]&lt;25,"18-24",Table1[[#This Row],[Age]]&lt;35,"25-34",Table1[[#This Row],[Age]]&lt;45,"35-44",Table1[[#This Row],[Age]]&lt;55,"45-54",TRUE,"55+")</f>
        <v>45-54</v>
      </c>
      <c r="L943" t="str">
        <f>"Q"&amp;ROUNDUP(MONTH(Table1[[#This Row],[Date]])/3,0)</f>
        <v>Q1</v>
      </c>
    </row>
    <row r="944" spans="1:12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5">
        <v>300</v>
      </c>
      <c r="I944" s="5">
        <v>1200</v>
      </c>
      <c r="J944" s="2" t="str">
        <f>TEXT(Table1[[#This Row],[Date]],"mmm")</f>
        <v>Oct</v>
      </c>
      <c r="K944" t="str" cm="1">
        <f t="array" ref="K944">_xlfn.IFS(Table1[[#This Row],[Age]]&lt;25,"18-24",Table1[[#This Row],[Age]]&lt;35,"25-34",Table1[[#This Row],[Age]]&lt;45,"35-44",Table1[[#This Row],[Age]]&lt;55,"45-54",TRUE,"55+")</f>
        <v>55+</v>
      </c>
      <c r="L944" t="str">
        <f>"Q"&amp;ROUNDUP(MONTH(Table1[[#This Row],[Date]])/3,0)</f>
        <v>Q4</v>
      </c>
    </row>
    <row r="945" spans="1:12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5">
        <v>25</v>
      </c>
      <c r="I945" s="5">
        <v>50</v>
      </c>
      <c r="J945" s="2" t="str">
        <f>TEXT(Table1[[#This Row],[Date]],"mmm")</f>
        <v>Jun</v>
      </c>
      <c r="K945" t="str" cm="1">
        <f t="array" ref="K945">_xlfn.IFS(Table1[[#This Row],[Age]]&lt;25,"18-24",Table1[[#This Row],[Age]]&lt;35,"25-34",Table1[[#This Row],[Age]]&lt;45,"35-44",Table1[[#This Row],[Age]]&lt;55,"45-54",TRUE,"55+")</f>
        <v>35-44</v>
      </c>
      <c r="L945" t="str">
        <f>"Q"&amp;ROUNDUP(MONTH(Table1[[#This Row],[Date]])/3,0)</f>
        <v>Q2</v>
      </c>
    </row>
    <row r="946" spans="1:12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5">
        <v>25</v>
      </c>
      <c r="I946" s="5">
        <v>25</v>
      </c>
      <c r="J946" s="2" t="str">
        <f>TEXT(Table1[[#This Row],[Date]],"mmm")</f>
        <v>Feb</v>
      </c>
      <c r="K946" t="str" cm="1">
        <f t="array" ref="K946">_xlfn.IFS(Table1[[#This Row],[Age]]&lt;25,"18-24",Table1[[#This Row],[Age]]&lt;35,"25-34",Table1[[#This Row],[Age]]&lt;45,"35-44",Table1[[#This Row],[Age]]&lt;55,"45-54",TRUE,"55+")</f>
        <v>25-34</v>
      </c>
      <c r="L946" t="str">
        <f>"Q"&amp;ROUNDUP(MONTH(Table1[[#This Row],[Date]])/3,0)</f>
        <v>Q1</v>
      </c>
    </row>
    <row r="947" spans="1:12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5">
        <v>500</v>
      </c>
      <c r="I947" s="5">
        <v>2000</v>
      </c>
      <c r="J947" s="2" t="str">
        <f>TEXT(Table1[[#This Row],[Date]],"mmm")</f>
        <v>May</v>
      </c>
      <c r="K947" t="str" cm="1">
        <f t="array" ref="K947">_xlfn.IFS(Table1[[#This Row],[Age]]&lt;25,"18-24",Table1[[#This Row],[Age]]&lt;35,"25-34",Table1[[#This Row],[Age]]&lt;45,"35-44",Table1[[#This Row],[Age]]&lt;55,"45-54",TRUE,"55+")</f>
        <v>55+</v>
      </c>
      <c r="L947" t="str">
        <f>"Q"&amp;ROUNDUP(MONTH(Table1[[#This Row],[Date]])/3,0)</f>
        <v>Q2</v>
      </c>
    </row>
    <row r="948" spans="1:12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5">
        <v>300</v>
      </c>
      <c r="I948" s="5">
        <v>300</v>
      </c>
      <c r="J948" s="2" t="str">
        <f>TEXT(Table1[[#This Row],[Date]],"mmm")</f>
        <v>Mar</v>
      </c>
      <c r="K948" t="str" cm="1">
        <f t="array" ref="K948">_xlfn.IFS(Table1[[#This Row],[Age]]&lt;25,"18-24",Table1[[#This Row],[Age]]&lt;35,"25-34",Table1[[#This Row],[Age]]&lt;45,"35-44",Table1[[#This Row],[Age]]&lt;55,"45-54",TRUE,"55+")</f>
        <v>45-54</v>
      </c>
      <c r="L948" t="str">
        <f>"Q"&amp;ROUNDUP(MONTH(Table1[[#This Row],[Date]])/3,0)</f>
        <v>Q1</v>
      </c>
    </row>
    <row r="949" spans="1:12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5">
        <v>25</v>
      </c>
      <c r="I949" s="5">
        <v>75</v>
      </c>
      <c r="J949" s="2" t="str">
        <f>TEXT(Table1[[#This Row],[Date]],"mmm")</f>
        <v>Oct</v>
      </c>
      <c r="K949" t="str" cm="1">
        <f t="array" ref="K949">_xlfn.IFS(Table1[[#This Row],[Age]]&lt;25,"18-24",Table1[[#This Row],[Age]]&lt;35,"25-34",Table1[[#This Row],[Age]]&lt;45,"35-44",Table1[[#This Row],[Age]]&lt;55,"45-54",TRUE,"55+")</f>
        <v>18-24</v>
      </c>
      <c r="L949" t="str">
        <f>"Q"&amp;ROUNDUP(MONTH(Table1[[#This Row],[Date]])/3,0)</f>
        <v>Q4</v>
      </c>
    </row>
    <row r="950" spans="1:12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5">
        <v>25</v>
      </c>
      <c r="I950" s="5">
        <v>50</v>
      </c>
      <c r="J950" s="2" t="str">
        <f>TEXT(Table1[[#This Row],[Date]],"mmm")</f>
        <v>Aug</v>
      </c>
      <c r="K950" t="str" cm="1">
        <f t="array" ref="K950">_xlfn.IFS(Table1[[#This Row],[Age]]&lt;25,"18-24",Table1[[#This Row],[Age]]&lt;35,"25-34",Table1[[#This Row],[Age]]&lt;45,"35-44",Table1[[#This Row],[Age]]&lt;55,"45-54",TRUE,"55+")</f>
        <v>35-44</v>
      </c>
      <c r="L950" t="str">
        <f>"Q"&amp;ROUNDUP(MONTH(Table1[[#This Row],[Date]])/3,0)</f>
        <v>Q3</v>
      </c>
    </row>
    <row r="951" spans="1:12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5">
        <v>300</v>
      </c>
      <c r="I951" s="5">
        <v>900</v>
      </c>
      <c r="J951" s="2" t="str">
        <f>TEXT(Table1[[#This Row],[Date]],"mmm")</f>
        <v>Nov</v>
      </c>
      <c r="K951" t="str" cm="1">
        <f t="array" ref="K951">_xlfn.IFS(Table1[[#This Row],[Age]]&lt;25,"18-24",Table1[[#This Row],[Age]]&lt;35,"25-34",Table1[[#This Row],[Age]]&lt;45,"35-44",Table1[[#This Row],[Age]]&lt;55,"45-54",TRUE,"55+")</f>
        <v>35-44</v>
      </c>
      <c r="L951" t="str">
        <f>"Q"&amp;ROUNDUP(MONTH(Table1[[#This Row],[Date]])/3,0)</f>
        <v>Q4</v>
      </c>
    </row>
    <row r="952" spans="1:12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5">
        <v>50</v>
      </c>
      <c r="I952" s="5">
        <v>100</v>
      </c>
      <c r="J952" s="2" t="str">
        <f>TEXT(Table1[[#This Row],[Date]],"mmm")</f>
        <v>Nov</v>
      </c>
      <c r="K952" t="str" cm="1">
        <f t="array" ref="K952">_xlfn.IFS(Table1[[#This Row],[Age]]&lt;25,"18-24",Table1[[#This Row],[Age]]&lt;35,"25-34",Table1[[#This Row],[Age]]&lt;45,"35-44",Table1[[#This Row],[Age]]&lt;55,"45-54",TRUE,"55+")</f>
        <v>25-34</v>
      </c>
      <c r="L952" t="str">
        <f>"Q"&amp;ROUNDUP(MONTH(Table1[[#This Row],[Date]])/3,0)</f>
        <v>Q4</v>
      </c>
    </row>
    <row r="953" spans="1:12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5">
        <v>25</v>
      </c>
      <c r="I953" s="5">
        <v>25</v>
      </c>
      <c r="J953" s="2" t="str">
        <f>TEXT(Table1[[#This Row],[Date]],"mmm")</f>
        <v>Nov</v>
      </c>
      <c r="K953" t="str" cm="1">
        <f t="array" ref="K953">_xlfn.IFS(Table1[[#This Row],[Age]]&lt;25,"18-24",Table1[[#This Row],[Age]]&lt;35,"25-34",Table1[[#This Row],[Age]]&lt;45,"35-44",Table1[[#This Row],[Age]]&lt;55,"45-54",TRUE,"55+")</f>
        <v>55+</v>
      </c>
      <c r="L953" t="str">
        <f>"Q"&amp;ROUNDUP(MONTH(Table1[[#This Row],[Date]])/3,0)</f>
        <v>Q4</v>
      </c>
    </row>
    <row r="954" spans="1:12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5">
        <v>30</v>
      </c>
      <c r="I954" s="5">
        <v>90</v>
      </c>
      <c r="J954" s="2" t="str">
        <f>TEXT(Table1[[#This Row],[Date]],"mmm")</f>
        <v>Apr</v>
      </c>
      <c r="K954" t="str" cm="1">
        <f t="array" ref="K954">_xlfn.IFS(Table1[[#This Row],[Age]]&lt;25,"18-24",Table1[[#This Row],[Age]]&lt;35,"25-34",Table1[[#This Row],[Age]]&lt;45,"35-44",Table1[[#This Row],[Age]]&lt;55,"45-54",TRUE,"55+")</f>
        <v>45-54</v>
      </c>
      <c r="L954" t="str">
        <f>"Q"&amp;ROUNDUP(MONTH(Table1[[#This Row],[Date]])/3,0)</f>
        <v>Q2</v>
      </c>
    </row>
    <row r="955" spans="1:12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5">
        <v>300</v>
      </c>
      <c r="I955" s="5">
        <v>900</v>
      </c>
      <c r="J955" s="2" t="str">
        <f>TEXT(Table1[[#This Row],[Date]],"mmm")</f>
        <v>Sep</v>
      </c>
      <c r="K955" t="str" cm="1">
        <f t="array" ref="K955">_xlfn.IFS(Table1[[#This Row],[Age]]&lt;25,"18-24",Table1[[#This Row],[Age]]&lt;35,"25-34",Table1[[#This Row],[Age]]&lt;45,"35-44",Table1[[#This Row],[Age]]&lt;55,"45-54",TRUE,"55+")</f>
        <v>45-54</v>
      </c>
      <c r="L955" t="str">
        <f>"Q"&amp;ROUNDUP(MONTH(Table1[[#This Row],[Date]])/3,0)</f>
        <v>Q3</v>
      </c>
    </row>
    <row r="956" spans="1:12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5">
        <v>25</v>
      </c>
      <c r="I956" s="5">
        <v>25</v>
      </c>
      <c r="J956" s="2" t="str">
        <f>TEXT(Table1[[#This Row],[Date]],"mmm")</f>
        <v>Jul</v>
      </c>
      <c r="K956" t="str" cm="1">
        <f t="array" ref="K956">_xlfn.IFS(Table1[[#This Row],[Age]]&lt;25,"18-24",Table1[[#This Row],[Age]]&lt;35,"25-34",Table1[[#This Row],[Age]]&lt;45,"35-44",Table1[[#This Row],[Age]]&lt;55,"45-54",TRUE,"55+")</f>
        <v>55+</v>
      </c>
      <c r="L956" t="str">
        <f>"Q"&amp;ROUNDUP(MONTH(Table1[[#This Row],[Date]])/3,0)</f>
        <v>Q3</v>
      </c>
    </row>
    <row r="957" spans="1:12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5">
        <v>500</v>
      </c>
      <c r="I957" s="5">
        <v>1500</v>
      </c>
      <c r="J957" s="2" t="str">
        <f>TEXT(Table1[[#This Row],[Date]],"mmm")</f>
        <v>Aug</v>
      </c>
      <c r="K957" t="str" cm="1">
        <f t="array" ref="K957">_xlfn.IFS(Table1[[#This Row],[Age]]&lt;25,"18-24",Table1[[#This Row],[Age]]&lt;35,"25-34",Table1[[#This Row],[Age]]&lt;45,"35-44",Table1[[#This Row],[Age]]&lt;55,"45-54",TRUE,"55+")</f>
        <v>25-34</v>
      </c>
      <c r="L957" t="str">
        <f>"Q"&amp;ROUNDUP(MONTH(Table1[[#This Row],[Date]])/3,0)</f>
        <v>Q3</v>
      </c>
    </row>
    <row r="958" spans="1:12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5">
        <v>30</v>
      </c>
      <c r="I958" s="5">
        <v>120</v>
      </c>
      <c r="J958" s="2" t="str">
        <f>TEXT(Table1[[#This Row],[Date]],"mmm")</f>
        <v>Aug</v>
      </c>
      <c r="K958" t="str" cm="1">
        <f t="array" ref="K958">_xlfn.IFS(Table1[[#This Row],[Age]]&lt;25,"18-24",Table1[[#This Row],[Age]]&lt;35,"25-34",Table1[[#This Row],[Age]]&lt;45,"35-44",Table1[[#This Row],[Age]]&lt;55,"45-54",TRUE,"55+")</f>
        <v>55+</v>
      </c>
      <c r="L958" t="str">
        <f>"Q"&amp;ROUNDUP(MONTH(Table1[[#This Row],[Date]])/3,0)</f>
        <v>Q3</v>
      </c>
    </row>
    <row r="959" spans="1:12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5">
        <v>25</v>
      </c>
      <c r="I959" s="5">
        <v>50</v>
      </c>
      <c r="J959" s="2" t="str">
        <f>TEXT(Table1[[#This Row],[Date]],"mmm")</f>
        <v>Jun</v>
      </c>
      <c r="K959" t="str" cm="1">
        <f t="array" ref="K959">_xlfn.IFS(Table1[[#This Row],[Age]]&lt;25,"18-24",Table1[[#This Row],[Age]]&lt;35,"25-34",Table1[[#This Row],[Age]]&lt;45,"35-44",Table1[[#This Row],[Age]]&lt;55,"45-54",TRUE,"55+")</f>
        <v>55+</v>
      </c>
      <c r="L959" t="str">
        <f>"Q"&amp;ROUNDUP(MONTH(Table1[[#This Row],[Date]])/3,0)</f>
        <v>Q2</v>
      </c>
    </row>
    <row r="960" spans="1:12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5">
        <v>30</v>
      </c>
      <c r="I960" s="5">
        <v>60</v>
      </c>
      <c r="J960" s="2" t="str">
        <f>TEXT(Table1[[#This Row],[Date]],"mmm")</f>
        <v>Oct</v>
      </c>
      <c r="K960" t="str" cm="1">
        <f t="array" ref="K960">_xlfn.IFS(Table1[[#This Row],[Age]]&lt;25,"18-24",Table1[[#This Row],[Age]]&lt;35,"25-34",Table1[[#This Row],[Age]]&lt;45,"35-44",Table1[[#This Row],[Age]]&lt;55,"45-54",TRUE,"55+")</f>
        <v>35-44</v>
      </c>
      <c r="L960" t="str">
        <f>"Q"&amp;ROUNDUP(MONTH(Table1[[#This Row],[Date]])/3,0)</f>
        <v>Q4</v>
      </c>
    </row>
    <row r="961" spans="1:12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5">
        <v>30</v>
      </c>
      <c r="I961" s="5">
        <v>60</v>
      </c>
      <c r="J961" s="2" t="str">
        <f>TEXT(Table1[[#This Row],[Date]],"mmm")</f>
        <v>Aug</v>
      </c>
      <c r="K961" t="str" cm="1">
        <f t="array" ref="K961">_xlfn.IFS(Table1[[#This Row],[Age]]&lt;25,"18-24",Table1[[#This Row],[Age]]&lt;35,"25-34",Table1[[#This Row],[Age]]&lt;45,"35-44",Table1[[#This Row],[Age]]&lt;55,"45-54",TRUE,"55+")</f>
        <v>55+</v>
      </c>
      <c r="L961" t="str">
        <f>"Q"&amp;ROUNDUP(MONTH(Table1[[#This Row],[Date]])/3,0)</f>
        <v>Q3</v>
      </c>
    </row>
    <row r="962" spans="1:12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5">
        <v>50</v>
      </c>
      <c r="I962" s="5">
        <v>200</v>
      </c>
      <c r="J962" s="2" t="str">
        <f>TEXT(Table1[[#This Row],[Date]],"mmm")</f>
        <v>Jun</v>
      </c>
      <c r="K962" t="str" cm="1">
        <f t="array" ref="K962">_xlfn.IFS(Table1[[#This Row],[Age]]&lt;25,"18-24",Table1[[#This Row],[Age]]&lt;35,"25-34",Table1[[#This Row],[Age]]&lt;45,"35-44",Table1[[#This Row],[Age]]&lt;55,"45-54",TRUE,"55+")</f>
        <v>45-54</v>
      </c>
      <c r="L962" t="str">
        <f>"Q"&amp;ROUNDUP(MONTH(Table1[[#This Row],[Date]])/3,0)</f>
        <v>Q2</v>
      </c>
    </row>
    <row r="963" spans="1:12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5">
        <v>30</v>
      </c>
      <c r="I963" s="5">
        <v>60</v>
      </c>
      <c r="J963" s="2" t="str">
        <f>TEXT(Table1[[#This Row],[Date]],"mmm")</f>
        <v>Oct</v>
      </c>
      <c r="K963" t="str" cm="1">
        <f t="array" ref="K963">_xlfn.IFS(Table1[[#This Row],[Age]]&lt;25,"18-24",Table1[[#This Row],[Age]]&lt;35,"25-34",Table1[[#This Row],[Age]]&lt;45,"35-44",Table1[[#This Row],[Age]]&lt;55,"45-54",TRUE,"55+")</f>
        <v>35-44</v>
      </c>
      <c r="L963" t="str">
        <f>"Q"&amp;ROUNDUP(MONTH(Table1[[#This Row],[Date]])/3,0)</f>
        <v>Q4</v>
      </c>
    </row>
    <row r="964" spans="1:12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5">
        <v>50</v>
      </c>
      <c r="I964" s="5">
        <v>50</v>
      </c>
      <c r="J964" s="2" t="str">
        <f>TEXT(Table1[[#This Row],[Date]],"mmm")</f>
        <v>Nov</v>
      </c>
      <c r="K964" t="str" cm="1">
        <f t="array" ref="K964">_xlfn.IFS(Table1[[#This Row],[Age]]&lt;25,"18-24",Table1[[#This Row],[Age]]&lt;35,"25-34",Table1[[#This Row],[Age]]&lt;45,"35-44",Table1[[#This Row],[Age]]&lt;55,"45-54",TRUE,"55+")</f>
        <v>55+</v>
      </c>
      <c r="L964" t="str">
        <f>"Q"&amp;ROUNDUP(MONTH(Table1[[#This Row],[Date]])/3,0)</f>
        <v>Q4</v>
      </c>
    </row>
    <row r="965" spans="1:12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5">
        <v>300</v>
      </c>
      <c r="I965" s="5">
        <v>900</v>
      </c>
      <c r="J965" s="2" t="str">
        <f>TEXT(Table1[[#This Row],[Date]],"mmm")</f>
        <v>Jan</v>
      </c>
      <c r="K965" t="str" cm="1">
        <f t="array" ref="K965">_xlfn.IFS(Table1[[#This Row],[Age]]&lt;25,"18-24",Table1[[#This Row],[Age]]&lt;35,"25-34",Table1[[#This Row],[Age]]&lt;45,"35-44",Table1[[#This Row],[Age]]&lt;55,"45-54",TRUE,"55+")</f>
        <v>18-24</v>
      </c>
      <c r="L965" t="str">
        <f>"Q"&amp;ROUNDUP(MONTH(Table1[[#This Row],[Date]])/3,0)</f>
        <v>Q1</v>
      </c>
    </row>
    <row r="966" spans="1:12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5">
        <v>50</v>
      </c>
      <c r="I966" s="5">
        <v>200</v>
      </c>
      <c r="J966" s="2" t="str">
        <f>TEXT(Table1[[#This Row],[Date]],"mmm")</f>
        <v>Nov</v>
      </c>
      <c r="K966" t="str" cm="1">
        <f t="array" ref="K966">_xlfn.IFS(Table1[[#This Row],[Age]]&lt;25,"18-24",Table1[[#This Row],[Age]]&lt;35,"25-34",Table1[[#This Row],[Age]]&lt;45,"35-44",Table1[[#This Row],[Age]]&lt;55,"45-54",TRUE,"55+")</f>
        <v>18-24</v>
      </c>
      <c r="L966" t="str">
        <f>"Q"&amp;ROUNDUP(MONTH(Table1[[#This Row],[Date]])/3,0)</f>
        <v>Q4</v>
      </c>
    </row>
    <row r="967" spans="1:12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5">
        <v>500</v>
      </c>
      <c r="I967" s="5">
        <v>1000</v>
      </c>
      <c r="J967" s="2" t="str">
        <f>TEXT(Table1[[#This Row],[Date]],"mmm")</f>
        <v>Feb</v>
      </c>
      <c r="K967" t="str" cm="1">
        <f t="array" ref="K967">_xlfn.IFS(Table1[[#This Row],[Age]]&lt;25,"18-24",Table1[[#This Row],[Age]]&lt;35,"25-34",Table1[[#This Row],[Age]]&lt;45,"35-44",Table1[[#This Row],[Age]]&lt;55,"45-54",TRUE,"55+")</f>
        <v>55+</v>
      </c>
      <c r="L967" t="str">
        <f>"Q"&amp;ROUNDUP(MONTH(Table1[[#This Row],[Date]])/3,0)</f>
        <v>Q1</v>
      </c>
    </row>
    <row r="968" spans="1:12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5">
        <v>25</v>
      </c>
      <c r="I968" s="5">
        <v>25</v>
      </c>
      <c r="J968" s="2" t="str">
        <f>TEXT(Table1[[#This Row],[Date]],"mmm")</f>
        <v>Apr</v>
      </c>
      <c r="K968" t="str" cm="1">
        <f t="array" ref="K968">_xlfn.IFS(Table1[[#This Row],[Age]]&lt;25,"18-24",Table1[[#This Row],[Age]]&lt;35,"25-34",Table1[[#This Row],[Age]]&lt;45,"35-44",Table1[[#This Row],[Age]]&lt;55,"45-54",TRUE,"55+")</f>
        <v>55+</v>
      </c>
      <c r="L968" t="str">
        <f>"Q"&amp;ROUNDUP(MONTH(Table1[[#This Row],[Date]])/3,0)</f>
        <v>Q2</v>
      </c>
    </row>
    <row r="969" spans="1:12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5">
        <v>300</v>
      </c>
      <c r="I969" s="5">
        <v>900</v>
      </c>
      <c r="J969" s="2" t="str">
        <f>TEXT(Table1[[#This Row],[Date]],"mmm")</f>
        <v>Nov</v>
      </c>
      <c r="K969" t="str" cm="1">
        <f t="array" ref="K969">_xlfn.IFS(Table1[[#This Row],[Age]]&lt;25,"18-24",Table1[[#This Row],[Age]]&lt;35,"25-34",Table1[[#This Row],[Age]]&lt;45,"35-44",Table1[[#This Row],[Age]]&lt;55,"45-54",TRUE,"55+")</f>
        <v>45-54</v>
      </c>
      <c r="L969" t="str">
        <f>"Q"&amp;ROUNDUP(MONTH(Table1[[#This Row],[Date]])/3,0)</f>
        <v>Q4</v>
      </c>
    </row>
    <row r="970" spans="1:12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5">
        <v>300</v>
      </c>
      <c r="I970" s="5">
        <v>900</v>
      </c>
      <c r="J970" s="2" t="str">
        <f>TEXT(Table1[[#This Row],[Date]],"mmm")</f>
        <v>Apr</v>
      </c>
      <c r="K970" t="str" cm="1">
        <f t="array" ref="K970">_xlfn.IFS(Table1[[#This Row],[Age]]&lt;25,"18-24",Table1[[#This Row],[Age]]&lt;35,"25-34",Table1[[#This Row],[Age]]&lt;45,"35-44",Table1[[#This Row],[Age]]&lt;55,"45-54",TRUE,"55+")</f>
        <v>35-44</v>
      </c>
      <c r="L970" t="str">
        <f>"Q"&amp;ROUNDUP(MONTH(Table1[[#This Row],[Date]])/3,0)</f>
        <v>Q2</v>
      </c>
    </row>
    <row r="971" spans="1:12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5">
        <v>500</v>
      </c>
      <c r="I971" s="5">
        <v>2000</v>
      </c>
      <c r="J971" s="2" t="str">
        <f>TEXT(Table1[[#This Row],[Date]],"mmm")</f>
        <v>May</v>
      </c>
      <c r="K971" t="str" cm="1">
        <f t="array" ref="K971">_xlfn.IFS(Table1[[#This Row],[Age]]&lt;25,"18-24",Table1[[#This Row],[Age]]&lt;35,"25-34",Table1[[#This Row],[Age]]&lt;45,"35-44",Table1[[#This Row],[Age]]&lt;55,"45-54",TRUE,"55+")</f>
        <v>55+</v>
      </c>
      <c r="L971" t="str">
        <f>"Q"&amp;ROUNDUP(MONTH(Table1[[#This Row],[Date]])/3,0)</f>
        <v>Q2</v>
      </c>
    </row>
    <row r="972" spans="1:12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5">
        <v>50</v>
      </c>
      <c r="I972" s="5">
        <v>200</v>
      </c>
      <c r="J972" s="2" t="str">
        <f>TEXT(Table1[[#This Row],[Date]],"mmm")</f>
        <v>Dec</v>
      </c>
      <c r="K972" t="str" cm="1">
        <f t="array" ref="K972">_xlfn.IFS(Table1[[#This Row],[Age]]&lt;25,"18-24",Table1[[#This Row],[Age]]&lt;35,"25-34",Table1[[#This Row],[Age]]&lt;45,"35-44",Table1[[#This Row],[Age]]&lt;55,"45-54",TRUE,"55+")</f>
        <v>25-34</v>
      </c>
      <c r="L972" t="str">
        <f>"Q"&amp;ROUNDUP(MONTH(Table1[[#This Row],[Date]])/3,0)</f>
        <v>Q4</v>
      </c>
    </row>
    <row r="973" spans="1:12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5">
        <v>25</v>
      </c>
      <c r="I973" s="5">
        <v>100</v>
      </c>
      <c r="J973" s="2" t="str">
        <f>TEXT(Table1[[#This Row],[Date]],"mmm")</f>
        <v>Feb</v>
      </c>
      <c r="K973" t="str" cm="1">
        <f t="array" ref="K973">_xlfn.IFS(Table1[[#This Row],[Age]]&lt;25,"18-24",Table1[[#This Row],[Age]]&lt;35,"25-34",Table1[[#This Row],[Age]]&lt;45,"35-44",Table1[[#This Row],[Age]]&lt;55,"45-54",TRUE,"55+")</f>
        <v>45-54</v>
      </c>
      <c r="L973" t="str">
        <f>"Q"&amp;ROUNDUP(MONTH(Table1[[#This Row],[Date]])/3,0)</f>
        <v>Q1</v>
      </c>
    </row>
    <row r="974" spans="1:12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5">
        <v>50</v>
      </c>
      <c r="I974" s="5">
        <v>50</v>
      </c>
      <c r="J974" s="2" t="str">
        <f>TEXT(Table1[[#This Row],[Date]],"mmm")</f>
        <v>Mar</v>
      </c>
      <c r="K974" t="str" cm="1">
        <f t="array" ref="K974">_xlfn.IFS(Table1[[#This Row],[Age]]&lt;25,"18-24",Table1[[#This Row],[Age]]&lt;35,"25-34",Table1[[#This Row],[Age]]&lt;45,"35-44",Table1[[#This Row],[Age]]&lt;55,"45-54",TRUE,"55+")</f>
        <v>55+</v>
      </c>
      <c r="L974" t="str">
        <f>"Q"&amp;ROUNDUP(MONTH(Table1[[#This Row],[Date]])/3,0)</f>
        <v>Q1</v>
      </c>
    </row>
    <row r="975" spans="1:12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5">
        <v>30</v>
      </c>
      <c r="I975" s="5">
        <v>30</v>
      </c>
      <c r="J975" s="2" t="str">
        <f>TEXT(Table1[[#This Row],[Date]],"mmm")</f>
        <v>May</v>
      </c>
      <c r="K975" t="str" cm="1">
        <f t="array" ref="K975">_xlfn.IFS(Table1[[#This Row],[Age]]&lt;25,"18-24",Table1[[#This Row],[Age]]&lt;35,"25-34",Table1[[#This Row],[Age]]&lt;45,"35-44",Table1[[#This Row],[Age]]&lt;55,"45-54",TRUE,"55+")</f>
        <v>45-54</v>
      </c>
      <c r="L975" t="str">
        <f>"Q"&amp;ROUNDUP(MONTH(Table1[[#This Row],[Date]])/3,0)</f>
        <v>Q2</v>
      </c>
    </row>
    <row r="976" spans="1:12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5">
        <v>50</v>
      </c>
      <c r="I976" s="5">
        <v>200</v>
      </c>
      <c r="J976" s="2" t="str">
        <f>TEXT(Table1[[#This Row],[Date]],"mmm")</f>
        <v>Mar</v>
      </c>
      <c r="K976" t="str" cm="1">
        <f t="array" ref="K976">_xlfn.IFS(Table1[[#This Row],[Age]]&lt;25,"18-24",Table1[[#This Row],[Age]]&lt;35,"25-34",Table1[[#This Row],[Age]]&lt;45,"35-44",Table1[[#This Row],[Age]]&lt;55,"45-54",TRUE,"55+")</f>
        <v>55+</v>
      </c>
      <c r="L976" t="str">
        <f>"Q"&amp;ROUNDUP(MONTH(Table1[[#This Row],[Date]])/3,0)</f>
        <v>Q1</v>
      </c>
    </row>
    <row r="977" spans="1:12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5">
        <v>300</v>
      </c>
      <c r="I977" s="5">
        <v>600</v>
      </c>
      <c r="J977" s="2" t="str">
        <f>TEXT(Table1[[#This Row],[Date]],"mmm")</f>
        <v>Oct</v>
      </c>
      <c r="K977" t="str" cm="1">
        <f t="array" ref="K977">_xlfn.IFS(Table1[[#This Row],[Age]]&lt;25,"18-24",Table1[[#This Row],[Age]]&lt;35,"25-34",Table1[[#This Row],[Age]]&lt;45,"35-44",Table1[[#This Row],[Age]]&lt;55,"45-54",TRUE,"55+")</f>
        <v>45-54</v>
      </c>
      <c r="L977" t="str">
        <f>"Q"&amp;ROUNDUP(MONTH(Table1[[#This Row],[Date]])/3,0)</f>
        <v>Q4</v>
      </c>
    </row>
    <row r="978" spans="1:12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5">
        <v>25</v>
      </c>
      <c r="I978" s="5">
        <v>75</v>
      </c>
      <c r="J978" s="2" t="str">
        <f>TEXT(Table1[[#This Row],[Date]],"mmm")</f>
        <v>Feb</v>
      </c>
      <c r="K978" t="str" cm="1">
        <f t="array" ref="K978">_xlfn.IFS(Table1[[#This Row],[Age]]&lt;25,"18-24",Table1[[#This Row],[Age]]&lt;35,"25-34",Table1[[#This Row],[Age]]&lt;45,"35-44",Table1[[#This Row],[Age]]&lt;55,"45-54",TRUE,"55+")</f>
        <v>35-44</v>
      </c>
      <c r="L978" t="str">
        <f>"Q"&amp;ROUNDUP(MONTH(Table1[[#This Row],[Date]])/3,0)</f>
        <v>Q1</v>
      </c>
    </row>
    <row r="979" spans="1:12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5">
        <v>50</v>
      </c>
      <c r="I979" s="5">
        <v>150</v>
      </c>
      <c r="J979" s="2" t="str">
        <f>TEXT(Table1[[#This Row],[Date]],"mmm")</f>
        <v>Mar</v>
      </c>
      <c r="K979" t="str" cm="1">
        <f t="array" ref="K979">_xlfn.IFS(Table1[[#This Row],[Age]]&lt;25,"18-24",Table1[[#This Row],[Age]]&lt;35,"25-34",Table1[[#This Row],[Age]]&lt;45,"35-44",Table1[[#This Row],[Age]]&lt;55,"45-54",TRUE,"55+")</f>
        <v>45-54</v>
      </c>
      <c r="L979" t="str">
        <f>"Q"&amp;ROUNDUP(MONTH(Table1[[#This Row],[Date]])/3,0)</f>
        <v>Q1</v>
      </c>
    </row>
    <row r="980" spans="1:12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5">
        <v>25</v>
      </c>
      <c r="I980" s="5">
        <v>25</v>
      </c>
      <c r="J980" s="2" t="str">
        <f>TEXT(Table1[[#This Row],[Date]],"mmm")</f>
        <v>Jan</v>
      </c>
      <c r="K980" t="str" cm="1">
        <f t="array" ref="K980">_xlfn.IFS(Table1[[#This Row],[Age]]&lt;25,"18-24",Table1[[#This Row],[Age]]&lt;35,"25-34",Table1[[#This Row],[Age]]&lt;45,"35-44",Table1[[#This Row],[Age]]&lt;55,"45-54",TRUE,"55+")</f>
        <v>18-24</v>
      </c>
      <c r="L980" t="str">
        <f>"Q"&amp;ROUNDUP(MONTH(Table1[[#This Row],[Date]])/3,0)</f>
        <v>Q1</v>
      </c>
    </row>
    <row r="981" spans="1:12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5">
        <v>25</v>
      </c>
      <c r="I981" s="5">
        <v>75</v>
      </c>
      <c r="J981" s="2" t="str">
        <f>TEXT(Table1[[#This Row],[Date]],"mmm")</f>
        <v>Jul</v>
      </c>
      <c r="K981" t="str" cm="1">
        <f t="array" ref="K981">_xlfn.IFS(Table1[[#This Row],[Age]]&lt;25,"18-24",Table1[[#This Row],[Age]]&lt;35,"25-34",Table1[[#This Row],[Age]]&lt;45,"35-44",Table1[[#This Row],[Age]]&lt;55,"45-54",TRUE,"55+")</f>
        <v>25-34</v>
      </c>
      <c r="L981" t="str">
        <f>"Q"&amp;ROUNDUP(MONTH(Table1[[#This Row],[Date]])/3,0)</f>
        <v>Q3</v>
      </c>
    </row>
    <row r="982" spans="1:12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5">
        <v>30</v>
      </c>
      <c r="I982" s="5">
        <v>60</v>
      </c>
      <c r="J982" s="2" t="str">
        <f>TEXT(Table1[[#This Row],[Date]],"mmm")</f>
        <v>Aug</v>
      </c>
      <c r="K982" t="str" cm="1">
        <f t="array" ref="K982">_xlfn.IFS(Table1[[#This Row],[Age]]&lt;25,"18-24",Table1[[#This Row],[Age]]&lt;35,"25-34",Table1[[#This Row],[Age]]&lt;45,"35-44",Table1[[#This Row],[Age]]&lt;55,"45-54",TRUE,"55+")</f>
        <v>25-34</v>
      </c>
      <c r="L982" t="str">
        <f>"Q"&amp;ROUNDUP(MONTH(Table1[[#This Row],[Date]])/3,0)</f>
        <v>Q3</v>
      </c>
    </row>
    <row r="983" spans="1:12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5">
        <v>30</v>
      </c>
      <c r="I983" s="5">
        <v>90</v>
      </c>
      <c r="J983" s="2" t="str">
        <f>TEXT(Table1[[#This Row],[Date]],"mmm")</f>
        <v>Dec</v>
      </c>
      <c r="K983" t="str" cm="1">
        <f t="array" ref="K983">_xlfn.IFS(Table1[[#This Row],[Age]]&lt;25,"18-24",Table1[[#This Row],[Age]]&lt;35,"25-34",Table1[[#This Row],[Age]]&lt;45,"35-44",Table1[[#This Row],[Age]]&lt;55,"45-54",TRUE,"55+")</f>
        <v>45-54</v>
      </c>
      <c r="L983" t="str">
        <f>"Q"&amp;ROUNDUP(MONTH(Table1[[#This Row],[Date]])/3,0)</f>
        <v>Q4</v>
      </c>
    </row>
    <row r="984" spans="1:12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5">
        <v>300</v>
      </c>
      <c r="I984" s="5">
        <v>300</v>
      </c>
      <c r="J984" s="2" t="str">
        <f>TEXT(Table1[[#This Row],[Date]],"mmm")</f>
        <v>Nov</v>
      </c>
      <c r="K984" t="str" cm="1">
        <f t="array" ref="K984">_xlfn.IFS(Table1[[#This Row],[Age]]&lt;25,"18-24",Table1[[#This Row],[Age]]&lt;35,"25-34",Table1[[#This Row],[Age]]&lt;45,"35-44",Table1[[#This Row],[Age]]&lt;55,"45-54",TRUE,"55+")</f>
        <v>25-34</v>
      </c>
      <c r="L984" t="str">
        <f>"Q"&amp;ROUNDUP(MONTH(Table1[[#This Row],[Date]])/3,0)</f>
        <v>Q4</v>
      </c>
    </row>
    <row r="985" spans="1:12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5">
        <v>500</v>
      </c>
      <c r="I985" s="5">
        <v>500</v>
      </c>
      <c r="J985" s="2" t="str">
        <f>TEXT(Table1[[#This Row],[Date]],"mmm")</f>
        <v>Aug</v>
      </c>
      <c r="K985" t="str" cm="1">
        <f t="array" ref="K985">_xlfn.IFS(Table1[[#This Row],[Age]]&lt;25,"18-24",Table1[[#This Row],[Age]]&lt;35,"25-34",Table1[[#This Row],[Age]]&lt;45,"35-44",Table1[[#This Row],[Age]]&lt;55,"45-54",TRUE,"55+")</f>
        <v>55+</v>
      </c>
      <c r="L985" t="str">
        <f>"Q"&amp;ROUNDUP(MONTH(Table1[[#This Row],[Date]])/3,0)</f>
        <v>Q3</v>
      </c>
    </row>
    <row r="986" spans="1:12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5">
        <v>25</v>
      </c>
      <c r="I986" s="5">
        <v>50</v>
      </c>
      <c r="J986" s="2" t="str">
        <f>TEXT(Table1[[#This Row],[Date]],"mmm")</f>
        <v>May</v>
      </c>
      <c r="K986" t="str" cm="1">
        <f t="array" ref="K986">_xlfn.IFS(Table1[[#This Row],[Age]]&lt;25,"18-24",Table1[[#This Row],[Age]]&lt;35,"25-34",Table1[[#This Row],[Age]]&lt;45,"35-44",Table1[[#This Row],[Age]]&lt;55,"45-54",TRUE,"55+")</f>
        <v>18-24</v>
      </c>
      <c r="L986" t="str">
        <f>"Q"&amp;ROUNDUP(MONTH(Table1[[#This Row],[Date]])/3,0)</f>
        <v>Q2</v>
      </c>
    </row>
    <row r="987" spans="1:12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5">
        <v>500</v>
      </c>
      <c r="I987" s="5">
        <v>1000</v>
      </c>
      <c r="J987" s="2" t="str">
        <f>TEXT(Table1[[#This Row],[Date]],"mmm")</f>
        <v>Jan</v>
      </c>
      <c r="K987" t="str" cm="1">
        <f t="array" ref="K987">_xlfn.IFS(Table1[[#This Row],[Age]]&lt;25,"18-24",Table1[[#This Row],[Age]]&lt;35,"25-34",Table1[[#This Row],[Age]]&lt;45,"35-44",Table1[[#This Row],[Age]]&lt;55,"45-54",TRUE,"55+")</f>
        <v>45-54</v>
      </c>
      <c r="L987" t="str">
        <f>"Q"&amp;ROUNDUP(MONTH(Table1[[#This Row],[Date]])/3,0)</f>
        <v>Q1</v>
      </c>
    </row>
    <row r="988" spans="1:12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5">
        <v>300</v>
      </c>
      <c r="I988" s="5">
        <v>900</v>
      </c>
      <c r="J988" s="2" t="str">
        <f>TEXT(Table1[[#This Row],[Date]],"mmm")</f>
        <v>Apr</v>
      </c>
      <c r="K988" t="str" cm="1">
        <f t="array" ref="K988">_xlfn.IFS(Table1[[#This Row],[Age]]&lt;25,"18-24",Table1[[#This Row],[Age]]&lt;35,"25-34",Table1[[#This Row],[Age]]&lt;45,"35-44",Table1[[#This Row],[Age]]&lt;55,"45-54",TRUE,"55+")</f>
        <v>25-34</v>
      </c>
      <c r="L988" t="str">
        <f>"Q"&amp;ROUNDUP(MONTH(Table1[[#This Row],[Date]])/3,0)</f>
        <v>Q2</v>
      </c>
    </row>
    <row r="989" spans="1:12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5">
        <v>25</v>
      </c>
      <c r="I989" s="5">
        <v>75</v>
      </c>
      <c r="J989" s="2" t="str">
        <f>TEXT(Table1[[#This Row],[Date]],"mmm")</f>
        <v>May</v>
      </c>
      <c r="K989" t="str" cm="1">
        <f t="array" ref="K989">_xlfn.IFS(Table1[[#This Row],[Age]]&lt;25,"18-24",Table1[[#This Row],[Age]]&lt;35,"25-34",Table1[[#This Row],[Age]]&lt;45,"35-44",Table1[[#This Row],[Age]]&lt;55,"45-54",TRUE,"55+")</f>
        <v>55+</v>
      </c>
      <c r="L989" t="str">
        <f>"Q"&amp;ROUNDUP(MONTH(Table1[[#This Row],[Date]])/3,0)</f>
        <v>Q2</v>
      </c>
    </row>
    <row r="990" spans="1:12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5">
        <v>25</v>
      </c>
      <c r="I990" s="5">
        <v>25</v>
      </c>
      <c r="J990" s="2" t="str">
        <f>TEXT(Table1[[#This Row],[Date]],"mmm")</f>
        <v>Dec</v>
      </c>
      <c r="K990" t="str" cm="1">
        <f t="array" ref="K990">_xlfn.IFS(Table1[[#This Row],[Age]]&lt;25,"18-24",Table1[[#This Row],[Age]]&lt;35,"25-34",Table1[[#This Row],[Age]]&lt;45,"35-44",Table1[[#This Row],[Age]]&lt;55,"45-54",TRUE,"55+")</f>
        <v>35-44</v>
      </c>
      <c r="L990" t="str">
        <f>"Q"&amp;ROUNDUP(MONTH(Table1[[#This Row],[Date]])/3,0)</f>
        <v>Q4</v>
      </c>
    </row>
    <row r="991" spans="1:12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5">
        <v>500</v>
      </c>
      <c r="I991" s="5">
        <v>1000</v>
      </c>
      <c r="J991" s="2" t="str">
        <f>TEXT(Table1[[#This Row],[Date]],"mmm")</f>
        <v>May</v>
      </c>
      <c r="K991" t="str" cm="1">
        <f t="array" ref="K991">_xlfn.IFS(Table1[[#This Row],[Age]]&lt;25,"18-24",Table1[[#This Row],[Age]]&lt;35,"25-34",Table1[[#This Row],[Age]]&lt;45,"35-44",Table1[[#This Row],[Age]]&lt;55,"45-54",TRUE,"55+")</f>
        <v>55+</v>
      </c>
      <c r="L991" t="str">
        <f>"Q"&amp;ROUNDUP(MONTH(Table1[[#This Row],[Date]])/3,0)</f>
        <v>Q2</v>
      </c>
    </row>
    <row r="992" spans="1:12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5">
        <v>50</v>
      </c>
      <c r="I992" s="5">
        <v>100</v>
      </c>
      <c r="J992" s="2" t="str">
        <f>TEXT(Table1[[#This Row],[Date]],"mmm")</f>
        <v>Dec</v>
      </c>
      <c r="K992" t="str" cm="1">
        <f t="array" ref="K992">_xlfn.IFS(Table1[[#This Row],[Age]]&lt;25,"18-24",Table1[[#This Row],[Age]]&lt;35,"25-34",Table1[[#This Row],[Age]]&lt;45,"35-44",Table1[[#This Row],[Age]]&lt;55,"45-54",TRUE,"55+")</f>
        <v>25-34</v>
      </c>
      <c r="L992" t="str">
        <f>"Q"&amp;ROUNDUP(MONTH(Table1[[#This Row],[Date]])/3,0)</f>
        <v>Q4</v>
      </c>
    </row>
    <row r="993" spans="1:12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5">
        <v>30</v>
      </c>
      <c r="I993" s="5">
        <v>60</v>
      </c>
      <c r="J993" s="2" t="str">
        <f>TEXT(Table1[[#This Row],[Date]],"mmm")</f>
        <v>Aug</v>
      </c>
      <c r="K993" t="str" cm="1">
        <f t="array" ref="K993">_xlfn.IFS(Table1[[#This Row],[Age]]&lt;25,"18-24",Table1[[#This Row],[Age]]&lt;35,"25-34",Table1[[#This Row],[Age]]&lt;45,"35-44",Table1[[#This Row],[Age]]&lt;55,"45-54",TRUE,"55+")</f>
        <v>55+</v>
      </c>
      <c r="L993" t="str">
        <f>"Q"&amp;ROUNDUP(MONTH(Table1[[#This Row],[Date]])/3,0)</f>
        <v>Q3</v>
      </c>
    </row>
    <row r="994" spans="1:12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5">
        <v>50</v>
      </c>
      <c r="I994" s="5">
        <v>150</v>
      </c>
      <c r="J994" s="2" t="str">
        <f>TEXT(Table1[[#This Row],[Date]],"mmm")</f>
        <v>Feb</v>
      </c>
      <c r="K994" t="str" cm="1">
        <f t="array" ref="K994">_xlfn.IFS(Table1[[#This Row],[Age]]&lt;25,"18-24",Table1[[#This Row],[Age]]&lt;35,"25-34",Table1[[#This Row],[Age]]&lt;45,"35-44",Table1[[#This Row],[Age]]&lt;55,"45-54",TRUE,"55+")</f>
        <v>45-54</v>
      </c>
      <c r="L994" t="str">
        <f>"Q"&amp;ROUNDUP(MONTH(Table1[[#This Row],[Date]])/3,0)</f>
        <v>Q1</v>
      </c>
    </row>
    <row r="995" spans="1:12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5">
        <v>500</v>
      </c>
      <c r="I995" s="5">
        <v>1000</v>
      </c>
      <c r="J995" s="2" t="str">
        <f>TEXT(Table1[[#This Row],[Date]],"mmm")</f>
        <v>Dec</v>
      </c>
      <c r="K995" t="str" cm="1">
        <f t="array" ref="K995">_xlfn.IFS(Table1[[#This Row],[Age]]&lt;25,"18-24",Table1[[#This Row],[Age]]&lt;35,"25-34",Table1[[#This Row],[Age]]&lt;45,"35-44",Table1[[#This Row],[Age]]&lt;55,"45-54",TRUE,"55+")</f>
        <v>45-54</v>
      </c>
      <c r="L995" t="str">
        <f>"Q"&amp;ROUNDUP(MONTH(Table1[[#This Row],[Date]])/3,0)</f>
        <v>Q4</v>
      </c>
    </row>
    <row r="996" spans="1:12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5">
        <v>30</v>
      </c>
      <c r="I996" s="5">
        <v>30</v>
      </c>
      <c r="J996" s="2" t="str">
        <f>TEXT(Table1[[#This Row],[Date]],"mmm")</f>
        <v>Apr</v>
      </c>
      <c r="K996" t="str" cm="1">
        <f t="array" ref="K996">_xlfn.IFS(Table1[[#This Row],[Age]]&lt;25,"18-24",Table1[[#This Row],[Age]]&lt;35,"25-34",Table1[[#This Row],[Age]]&lt;45,"35-44",Table1[[#This Row],[Age]]&lt;55,"45-54",TRUE,"55+")</f>
        <v>35-44</v>
      </c>
      <c r="L996" t="str">
        <f>"Q"&amp;ROUNDUP(MONTH(Table1[[#This Row],[Date]])/3,0)</f>
        <v>Q2</v>
      </c>
    </row>
    <row r="997" spans="1:12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5">
        <v>50</v>
      </c>
      <c r="I997" s="5">
        <v>50</v>
      </c>
      <c r="J997" s="2" t="str">
        <f>TEXT(Table1[[#This Row],[Date]],"mmm")</f>
        <v>May</v>
      </c>
      <c r="K997" t="str" cm="1">
        <f t="array" ref="K997">_xlfn.IFS(Table1[[#This Row],[Age]]&lt;25,"18-24",Table1[[#This Row],[Age]]&lt;35,"25-34",Table1[[#This Row],[Age]]&lt;45,"35-44",Table1[[#This Row],[Age]]&lt;55,"45-54",TRUE,"55+")</f>
        <v>55+</v>
      </c>
      <c r="L997" t="str">
        <f>"Q"&amp;ROUNDUP(MONTH(Table1[[#This Row],[Date]])/3,0)</f>
        <v>Q2</v>
      </c>
    </row>
    <row r="998" spans="1:12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5">
        <v>30</v>
      </c>
      <c r="I998" s="5">
        <v>90</v>
      </c>
      <c r="J998" s="2" t="str">
        <f>TEXT(Table1[[#This Row],[Date]],"mmm")</f>
        <v>Nov</v>
      </c>
      <c r="K998" t="str" cm="1">
        <f t="array" ref="K998">_xlfn.IFS(Table1[[#This Row],[Age]]&lt;25,"18-24",Table1[[#This Row],[Age]]&lt;35,"25-34",Table1[[#This Row],[Age]]&lt;45,"35-44",Table1[[#This Row],[Age]]&lt;55,"45-54",TRUE,"55+")</f>
        <v>45-54</v>
      </c>
      <c r="L998" t="str">
        <f>"Q"&amp;ROUNDUP(MONTH(Table1[[#This Row],[Date]])/3,0)</f>
        <v>Q4</v>
      </c>
    </row>
    <row r="999" spans="1:12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5">
        <v>25</v>
      </c>
      <c r="I999" s="5">
        <v>100</v>
      </c>
      <c r="J999" s="2" t="str">
        <f>TEXT(Table1[[#This Row],[Date]],"mmm")</f>
        <v>Oct</v>
      </c>
      <c r="K999" t="str" cm="1">
        <f t="array" ref="K999">_xlfn.IFS(Table1[[#This Row],[Age]]&lt;25,"18-24",Table1[[#This Row],[Age]]&lt;35,"25-34",Table1[[#This Row],[Age]]&lt;45,"35-44",Table1[[#This Row],[Age]]&lt;55,"45-54",TRUE,"55+")</f>
        <v>18-24</v>
      </c>
      <c r="L999" t="str">
        <f>"Q"&amp;ROUNDUP(MONTH(Table1[[#This Row],[Date]])/3,0)</f>
        <v>Q4</v>
      </c>
    </row>
    <row r="1000" spans="1:12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5">
        <v>50</v>
      </c>
      <c r="I1000" s="5">
        <v>150</v>
      </c>
      <c r="J1000" s="2" t="str">
        <f>TEXT(Table1[[#This Row],[Date]],"mmm")</f>
        <v>Dec</v>
      </c>
      <c r="K1000" t="str" cm="1">
        <f t="array" ref="K1000">_xlfn.IFS(Table1[[#This Row],[Age]]&lt;25,"18-24",Table1[[#This Row],[Age]]&lt;35,"25-34",Table1[[#This Row],[Age]]&lt;45,"35-44",Table1[[#This Row],[Age]]&lt;55,"45-54",TRUE,"55+")</f>
        <v>35-44</v>
      </c>
      <c r="L1000" t="str">
        <f>"Q"&amp;ROUNDUP(MONTH(Table1[[#This Row],[Date]])/3,0)</f>
        <v>Q4</v>
      </c>
    </row>
    <row r="1001" spans="1:12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5">
        <v>30</v>
      </c>
      <c r="I1001" s="5">
        <v>120</v>
      </c>
      <c r="J1001" s="2" t="str">
        <f>TEXT(Table1[[#This Row],[Date]],"mmm")</f>
        <v>Apr</v>
      </c>
      <c r="K1001" t="str" cm="1">
        <f t="array" ref="K1001">_xlfn.IFS(Table1[[#This Row],[Age]]&lt;25,"18-24",Table1[[#This Row],[Age]]&lt;35,"25-34",Table1[[#This Row],[Age]]&lt;45,"35-44",Table1[[#This Row],[Age]]&lt;55,"45-54",TRUE,"55+")</f>
        <v>45-54</v>
      </c>
      <c r="L1001" t="str">
        <f>"Q"&amp;ROUNDUP(MONTH(Table1[[#This Row],[Date]])/3,0)</f>
        <v>Q2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3403-96F5-435C-8FBF-799778CEBDEB}">
  <dimension ref="A1:E101"/>
  <sheetViews>
    <sheetView topLeftCell="A81" zoomScale="87" zoomScaleNormal="58" workbookViewId="0">
      <selection activeCell="A90" sqref="A90"/>
    </sheetView>
  </sheetViews>
  <sheetFormatPr defaultRowHeight="14.5" x14ac:dyDescent="0.35"/>
  <cols>
    <col min="1" max="1" width="20.08984375" bestFit="1" customWidth="1"/>
    <col min="2" max="2" width="18.1796875" bestFit="1" customWidth="1"/>
    <col min="3" max="3" width="15.7265625" bestFit="1" customWidth="1"/>
    <col min="4" max="4" width="11.26953125" bestFit="1" customWidth="1"/>
    <col min="5" max="5" width="9.81640625" bestFit="1" customWidth="1"/>
    <col min="6" max="6" width="22.7265625" bestFit="1" customWidth="1"/>
    <col min="7" max="7" width="26.81640625" bestFit="1" customWidth="1"/>
    <col min="8" max="8" width="22.7265625" bestFit="1" customWidth="1"/>
    <col min="9" max="9" width="18.81640625" bestFit="1" customWidth="1"/>
    <col min="10" max="10" width="26.81640625" bestFit="1" customWidth="1"/>
  </cols>
  <sheetData>
    <row r="1" spans="1:2" ht="62.5" x14ac:dyDescent="1.4">
      <c r="A1" s="7"/>
    </row>
    <row r="4" spans="1:2" x14ac:dyDescent="0.35">
      <c r="A4" s="3" t="s">
        <v>5</v>
      </c>
      <c r="B4" t="s">
        <v>1042</v>
      </c>
    </row>
    <row r="5" spans="1:2" x14ac:dyDescent="0.35">
      <c r="A5" s="4" t="s">
        <v>11</v>
      </c>
      <c r="B5" s="6">
        <v>307</v>
      </c>
    </row>
    <row r="6" spans="1:2" x14ac:dyDescent="0.35">
      <c r="A6" s="4" t="s">
        <v>14</v>
      </c>
      <c r="B6" s="6">
        <v>351</v>
      </c>
    </row>
    <row r="7" spans="1:2" x14ac:dyDescent="0.35">
      <c r="A7" s="4" t="s">
        <v>16</v>
      </c>
      <c r="B7" s="6">
        <v>342</v>
      </c>
    </row>
    <row r="8" spans="1:2" x14ac:dyDescent="0.35">
      <c r="A8" s="4" t="s">
        <v>1041</v>
      </c>
      <c r="B8" s="6">
        <v>1000</v>
      </c>
    </row>
    <row r="10" spans="1:2" x14ac:dyDescent="0.35">
      <c r="A10" s="3" t="s">
        <v>5</v>
      </c>
      <c r="B10" t="s">
        <v>1018</v>
      </c>
    </row>
    <row r="11" spans="1:2" x14ac:dyDescent="0.35">
      <c r="A11" s="4" t="s">
        <v>11</v>
      </c>
      <c r="B11" s="5">
        <v>143515</v>
      </c>
    </row>
    <row r="12" spans="1:2" x14ac:dyDescent="0.35">
      <c r="A12" s="4" t="s">
        <v>14</v>
      </c>
      <c r="B12" s="5">
        <v>155580</v>
      </c>
    </row>
    <row r="13" spans="1:2" x14ac:dyDescent="0.35">
      <c r="A13" s="4" t="s">
        <v>16</v>
      </c>
      <c r="B13" s="5">
        <v>156905</v>
      </c>
    </row>
    <row r="14" spans="1:2" x14ac:dyDescent="0.35">
      <c r="A14" s="4" t="s">
        <v>1017</v>
      </c>
      <c r="B14" s="5">
        <v>456000</v>
      </c>
    </row>
    <row r="15" spans="1:2" x14ac:dyDescent="0.35">
      <c r="A15" s="4" t="s">
        <v>1045</v>
      </c>
      <c r="B15" s="8">
        <f>GETPIVOTDATA("Total Amount",$A$10)</f>
        <v>456000</v>
      </c>
    </row>
    <row r="20" spans="1:4" x14ac:dyDescent="0.35">
      <c r="A20" s="9" t="s">
        <v>1016</v>
      </c>
      <c r="B20" s="9" t="s">
        <v>1043</v>
      </c>
      <c r="C20" s="5"/>
      <c r="D20" s="5"/>
    </row>
    <row r="21" spans="1:4" x14ac:dyDescent="0.35">
      <c r="A21" s="9" t="s">
        <v>5</v>
      </c>
      <c r="B21" s="5" t="s">
        <v>13</v>
      </c>
      <c r="C21" s="5" t="s">
        <v>10</v>
      </c>
      <c r="D21" s="5" t="s">
        <v>1017</v>
      </c>
    </row>
    <row r="22" spans="1:4" x14ac:dyDescent="0.35">
      <c r="A22" s="10" t="s">
        <v>1034</v>
      </c>
      <c r="B22" s="5">
        <v>35920</v>
      </c>
      <c r="C22" s="5">
        <v>38730</v>
      </c>
      <c r="D22" s="5">
        <v>74650</v>
      </c>
    </row>
    <row r="23" spans="1:4" x14ac:dyDescent="0.35">
      <c r="A23" s="10" t="s">
        <v>1024</v>
      </c>
      <c r="B23" s="5">
        <v>51850</v>
      </c>
      <c r="C23" s="5">
        <v>45240</v>
      </c>
      <c r="D23" s="5">
        <v>97090</v>
      </c>
    </row>
    <row r="24" spans="1:4" x14ac:dyDescent="0.35">
      <c r="A24" s="10" t="s">
        <v>1027</v>
      </c>
      <c r="B24" s="5">
        <v>52965</v>
      </c>
      <c r="C24" s="5">
        <v>43870</v>
      </c>
      <c r="D24" s="5">
        <v>96835</v>
      </c>
    </row>
    <row r="25" spans="1:4" x14ac:dyDescent="0.35">
      <c r="A25" s="10" t="s">
        <v>1031</v>
      </c>
      <c r="B25" s="5">
        <v>46825</v>
      </c>
      <c r="C25" s="5">
        <v>50410</v>
      </c>
      <c r="D25" s="5">
        <v>97235</v>
      </c>
    </row>
    <row r="26" spans="1:4" x14ac:dyDescent="0.35">
      <c r="A26" s="10" t="s">
        <v>1021</v>
      </c>
      <c r="B26" s="5">
        <v>45280</v>
      </c>
      <c r="C26" s="5">
        <v>44910</v>
      </c>
      <c r="D26" s="5">
        <v>90190</v>
      </c>
    </row>
    <row r="27" spans="1:4" x14ac:dyDescent="0.35">
      <c r="A27" s="10" t="s">
        <v>1017</v>
      </c>
      <c r="B27" s="5">
        <v>232840</v>
      </c>
      <c r="C27" s="5">
        <v>223160</v>
      </c>
      <c r="D27" s="5">
        <v>456000</v>
      </c>
    </row>
    <row r="36" spans="1:4" x14ac:dyDescent="0.35">
      <c r="A36" s="3" t="s">
        <v>1016</v>
      </c>
      <c r="B36" s="3" t="s">
        <v>1043</v>
      </c>
    </row>
    <row r="37" spans="1:4" x14ac:dyDescent="0.35">
      <c r="A37" s="3" t="s">
        <v>5</v>
      </c>
      <c r="B37" t="s">
        <v>13</v>
      </c>
      <c r="C37" t="s">
        <v>10</v>
      </c>
      <c r="D37" t="s">
        <v>1017</v>
      </c>
    </row>
    <row r="38" spans="1:4" x14ac:dyDescent="0.35">
      <c r="A38" s="4" t="s">
        <v>11</v>
      </c>
      <c r="B38" s="8">
        <v>74830</v>
      </c>
      <c r="C38" s="8">
        <v>68685</v>
      </c>
      <c r="D38" s="8">
        <v>143515</v>
      </c>
    </row>
    <row r="39" spans="1:4" x14ac:dyDescent="0.35">
      <c r="A39" s="4" t="s">
        <v>14</v>
      </c>
      <c r="B39" s="8">
        <v>81275</v>
      </c>
      <c r="C39" s="8">
        <v>74305</v>
      </c>
      <c r="D39" s="8">
        <v>155580</v>
      </c>
    </row>
    <row r="40" spans="1:4" x14ac:dyDescent="0.35">
      <c r="A40" s="4" t="s">
        <v>16</v>
      </c>
      <c r="B40" s="8">
        <v>76735</v>
      </c>
      <c r="C40" s="8">
        <v>80170</v>
      </c>
      <c r="D40" s="8">
        <v>156905</v>
      </c>
    </row>
    <row r="41" spans="1:4" x14ac:dyDescent="0.35">
      <c r="A41" s="4" t="s">
        <v>1017</v>
      </c>
      <c r="B41" s="8">
        <v>232840</v>
      </c>
      <c r="C41" s="8">
        <v>223160</v>
      </c>
      <c r="D41" s="8">
        <v>456000</v>
      </c>
    </row>
    <row r="54" spans="1:2" x14ac:dyDescent="0.35">
      <c r="A54" s="9" t="s">
        <v>5</v>
      </c>
      <c r="B54" s="5" t="s">
        <v>1016</v>
      </c>
    </row>
    <row r="55" spans="1:2" x14ac:dyDescent="0.35">
      <c r="A55" s="10" t="s">
        <v>1032</v>
      </c>
      <c r="B55" s="5">
        <v>36980</v>
      </c>
    </row>
    <row r="56" spans="1:2" x14ac:dyDescent="0.35">
      <c r="A56" s="10" t="s">
        <v>1023</v>
      </c>
      <c r="B56" s="5">
        <v>44060</v>
      </c>
    </row>
    <row r="57" spans="1:2" x14ac:dyDescent="0.35">
      <c r="A57" s="10" t="s">
        <v>1030</v>
      </c>
      <c r="B57" s="5">
        <v>28990</v>
      </c>
    </row>
    <row r="58" spans="1:2" x14ac:dyDescent="0.35">
      <c r="A58" s="10" t="s">
        <v>1026</v>
      </c>
      <c r="B58" s="5">
        <v>33870</v>
      </c>
    </row>
    <row r="59" spans="1:2" x14ac:dyDescent="0.35">
      <c r="A59" s="10" t="s">
        <v>1020</v>
      </c>
      <c r="B59" s="5">
        <v>53150</v>
      </c>
    </row>
    <row r="60" spans="1:2" x14ac:dyDescent="0.35">
      <c r="A60" s="10" t="s">
        <v>1040</v>
      </c>
      <c r="B60" s="5">
        <v>36715</v>
      </c>
    </row>
    <row r="61" spans="1:2" x14ac:dyDescent="0.35">
      <c r="A61" s="10" t="s">
        <v>1039</v>
      </c>
      <c r="B61" s="5">
        <v>35465</v>
      </c>
    </row>
    <row r="62" spans="1:2" x14ac:dyDescent="0.35">
      <c r="A62" s="10" t="s">
        <v>1035</v>
      </c>
      <c r="B62" s="5">
        <v>36960</v>
      </c>
    </row>
    <row r="63" spans="1:2" x14ac:dyDescent="0.35">
      <c r="A63" s="10" t="s">
        <v>1038</v>
      </c>
      <c r="B63" s="5">
        <v>23620</v>
      </c>
    </row>
    <row r="64" spans="1:2" x14ac:dyDescent="0.35">
      <c r="A64" s="10" t="s">
        <v>1033</v>
      </c>
      <c r="B64" s="5">
        <v>46580</v>
      </c>
    </row>
    <row r="65" spans="1:5" x14ac:dyDescent="0.35">
      <c r="A65" s="10" t="s">
        <v>1037</v>
      </c>
      <c r="B65" s="5">
        <v>34920</v>
      </c>
    </row>
    <row r="66" spans="1:5" x14ac:dyDescent="0.35">
      <c r="A66" s="10" t="s">
        <v>1028</v>
      </c>
      <c r="B66" s="5">
        <v>44690</v>
      </c>
    </row>
    <row r="67" spans="1:5" x14ac:dyDescent="0.35">
      <c r="A67" s="10" t="s">
        <v>1017</v>
      </c>
      <c r="B67" s="5">
        <v>456000</v>
      </c>
    </row>
    <row r="71" spans="1:5" x14ac:dyDescent="0.35">
      <c r="A71" s="3" t="s">
        <v>1016</v>
      </c>
      <c r="B71" s="3" t="s">
        <v>1043</v>
      </c>
    </row>
    <row r="72" spans="1:5" x14ac:dyDescent="0.35">
      <c r="A72" s="3" t="s">
        <v>5</v>
      </c>
      <c r="B72" t="s">
        <v>11</v>
      </c>
      <c r="C72" t="s">
        <v>14</v>
      </c>
      <c r="D72" t="s">
        <v>16</v>
      </c>
      <c r="E72" t="s">
        <v>1017</v>
      </c>
    </row>
    <row r="73" spans="1:5" x14ac:dyDescent="0.35">
      <c r="A73" s="4" t="s">
        <v>1034</v>
      </c>
      <c r="B73" s="8">
        <v>28905</v>
      </c>
      <c r="C73" s="8">
        <v>22160</v>
      </c>
      <c r="D73" s="8">
        <v>23585</v>
      </c>
      <c r="E73" s="8">
        <v>74650</v>
      </c>
    </row>
    <row r="74" spans="1:5" x14ac:dyDescent="0.35">
      <c r="A74" s="4" t="s">
        <v>1024</v>
      </c>
      <c r="B74" s="8">
        <v>28540</v>
      </c>
      <c r="C74" s="8">
        <v>41640</v>
      </c>
      <c r="D74" s="8">
        <v>26910</v>
      </c>
      <c r="E74" s="8">
        <v>97090</v>
      </c>
    </row>
    <row r="75" spans="1:5" x14ac:dyDescent="0.35">
      <c r="A75" s="4" t="s">
        <v>1027</v>
      </c>
      <c r="B75" s="8">
        <v>29450</v>
      </c>
      <c r="C75" s="8">
        <v>30925</v>
      </c>
      <c r="D75" s="8">
        <v>36460</v>
      </c>
      <c r="E75" s="8">
        <v>96835</v>
      </c>
    </row>
    <row r="76" spans="1:5" x14ac:dyDescent="0.35">
      <c r="A76" s="4" t="s">
        <v>1031</v>
      </c>
      <c r="B76" s="8">
        <v>35950</v>
      </c>
      <c r="C76" s="8">
        <v>29545</v>
      </c>
      <c r="D76" s="8">
        <v>31740</v>
      </c>
      <c r="E76" s="8">
        <v>97235</v>
      </c>
    </row>
    <row r="77" spans="1:5" x14ac:dyDescent="0.35">
      <c r="A77" s="4" t="s">
        <v>1021</v>
      </c>
      <c r="B77" s="8">
        <v>20670</v>
      </c>
      <c r="C77" s="8">
        <v>31310</v>
      </c>
      <c r="D77" s="8">
        <v>38210</v>
      </c>
      <c r="E77" s="8">
        <v>90190</v>
      </c>
    </row>
    <row r="78" spans="1:5" x14ac:dyDescent="0.35">
      <c r="A78" s="4" t="s">
        <v>1017</v>
      </c>
      <c r="B78" s="8">
        <v>143515</v>
      </c>
      <c r="C78" s="8">
        <v>155580</v>
      </c>
      <c r="D78" s="8">
        <v>156905</v>
      </c>
      <c r="E78" s="8">
        <v>456000</v>
      </c>
    </row>
    <row r="86" spans="1:5" x14ac:dyDescent="0.35">
      <c r="A86" s="3" t="s">
        <v>1016</v>
      </c>
      <c r="B86" s="3" t="s">
        <v>1043</v>
      </c>
    </row>
    <row r="87" spans="1:5" x14ac:dyDescent="0.35">
      <c r="A87" s="3" t="s">
        <v>5</v>
      </c>
      <c r="B87" t="s">
        <v>11</v>
      </c>
      <c r="C87" t="s">
        <v>14</v>
      </c>
      <c r="D87" t="s">
        <v>16</v>
      </c>
      <c r="E87" t="s">
        <v>1017</v>
      </c>
    </row>
    <row r="88" spans="1:5" x14ac:dyDescent="0.35">
      <c r="A88" s="4" t="s">
        <v>1025</v>
      </c>
      <c r="B88" s="8">
        <v>38510</v>
      </c>
      <c r="C88" s="8">
        <v>42750</v>
      </c>
      <c r="D88" s="8">
        <v>28770</v>
      </c>
      <c r="E88" s="8">
        <v>110030</v>
      </c>
    </row>
    <row r="89" spans="1:5" x14ac:dyDescent="0.35">
      <c r="A89" s="4" t="s">
        <v>1022</v>
      </c>
      <c r="B89" s="8">
        <v>35350</v>
      </c>
      <c r="C89" s="8">
        <v>41565</v>
      </c>
      <c r="D89" s="8">
        <v>46820</v>
      </c>
      <c r="E89" s="8">
        <v>123735</v>
      </c>
    </row>
    <row r="90" spans="1:5" x14ac:dyDescent="0.35">
      <c r="A90" s="4" t="s">
        <v>1036</v>
      </c>
      <c r="B90" s="8">
        <v>32200</v>
      </c>
      <c r="C90" s="8">
        <v>30680</v>
      </c>
      <c r="D90" s="8">
        <v>33165</v>
      </c>
      <c r="E90" s="8">
        <v>96045</v>
      </c>
    </row>
    <row r="91" spans="1:5" x14ac:dyDescent="0.35">
      <c r="A91" s="4" t="s">
        <v>1029</v>
      </c>
      <c r="B91" s="8">
        <v>37455</v>
      </c>
      <c r="C91" s="8">
        <v>40585</v>
      </c>
      <c r="D91" s="8">
        <v>48150</v>
      </c>
      <c r="E91" s="8">
        <v>126190</v>
      </c>
    </row>
    <row r="92" spans="1:5" x14ac:dyDescent="0.35">
      <c r="A92" s="4" t="s">
        <v>1017</v>
      </c>
      <c r="B92" s="8">
        <v>143515</v>
      </c>
      <c r="C92" s="8">
        <v>155580</v>
      </c>
      <c r="D92" s="8">
        <v>156905</v>
      </c>
      <c r="E92" s="8">
        <v>456000</v>
      </c>
    </row>
    <row r="98" spans="1:2" x14ac:dyDescent="0.35">
      <c r="A98" s="3" t="s">
        <v>1048</v>
      </c>
    </row>
    <row r="99" spans="1:2" x14ac:dyDescent="0.35">
      <c r="A99" s="4" t="s">
        <v>1047</v>
      </c>
      <c r="B99" s="8">
        <v>456</v>
      </c>
    </row>
    <row r="100" spans="1:2" x14ac:dyDescent="0.35">
      <c r="A100" s="4" t="s">
        <v>1046</v>
      </c>
      <c r="B100" s="24">
        <v>1000</v>
      </c>
    </row>
    <row r="101" spans="1:2" x14ac:dyDescent="0.35">
      <c r="A101" s="4" t="s">
        <v>1019</v>
      </c>
      <c r="B101" s="24">
        <v>2514</v>
      </c>
    </row>
  </sheetData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7F04-B2F6-44F5-BCE2-6EBD88CDE093}">
  <sheetPr>
    <pageSetUpPr fitToPage="1"/>
  </sheetPr>
  <dimension ref="B1:X44"/>
  <sheetViews>
    <sheetView zoomScale="40" zoomScaleNormal="40" workbookViewId="0">
      <selection activeCell="B2" sqref="B2:X44"/>
    </sheetView>
  </sheetViews>
  <sheetFormatPr defaultRowHeight="14.5" x14ac:dyDescent="0.35"/>
  <sheetData>
    <row r="1" spans="2:24" ht="15" thickBot="1" x14ac:dyDescent="0.4"/>
    <row r="2" spans="2:24" ht="62.5" x14ac:dyDescent="1.4">
      <c r="B2" s="11" t="s">
        <v>1050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</row>
    <row r="3" spans="2:24" ht="22" customHeight="1" x14ac:dyDescent="0.6">
      <c r="B3" s="20" t="s">
        <v>1049</v>
      </c>
      <c r="C3" s="21"/>
      <c r="D3" s="21"/>
      <c r="E3" s="21"/>
      <c r="F3" s="22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3"/>
    </row>
    <row r="4" spans="2:24" x14ac:dyDescent="0.35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</row>
    <row r="5" spans="2:24" x14ac:dyDescent="0.35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</row>
    <row r="6" spans="2:24" x14ac:dyDescent="0.35"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/>
    </row>
    <row r="7" spans="2:24" x14ac:dyDescent="0.35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</row>
    <row r="8" spans="2:24" x14ac:dyDescent="0.35"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6"/>
    </row>
    <row r="9" spans="2:24" x14ac:dyDescent="0.35"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</row>
    <row r="10" spans="2:24" x14ac:dyDescent="0.35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6"/>
    </row>
    <row r="11" spans="2:24" x14ac:dyDescent="0.35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6"/>
    </row>
    <row r="12" spans="2:24" x14ac:dyDescent="0.3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6"/>
    </row>
    <row r="13" spans="2:24" x14ac:dyDescent="0.35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6"/>
    </row>
    <row r="14" spans="2:24" x14ac:dyDescent="0.35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6"/>
    </row>
    <row r="15" spans="2:24" x14ac:dyDescent="0.35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</row>
    <row r="16" spans="2:24" x14ac:dyDescent="0.35"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6"/>
    </row>
    <row r="17" spans="2:24" x14ac:dyDescent="0.35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</row>
    <row r="18" spans="2:24" x14ac:dyDescent="0.35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</row>
    <row r="19" spans="2:24" x14ac:dyDescent="0.3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</row>
    <row r="20" spans="2:24" x14ac:dyDescent="0.3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</row>
    <row r="21" spans="2:24" x14ac:dyDescent="0.35"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</row>
    <row r="22" spans="2:24" x14ac:dyDescent="0.35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</row>
    <row r="23" spans="2:24" x14ac:dyDescent="0.35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</row>
    <row r="24" spans="2:24" x14ac:dyDescent="0.35"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</row>
    <row r="25" spans="2:24" x14ac:dyDescent="0.35"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</row>
    <row r="26" spans="2:24" x14ac:dyDescent="0.35"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</row>
    <row r="27" spans="2:24" x14ac:dyDescent="0.35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</row>
    <row r="28" spans="2:24" x14ac:dyDescent="0.35"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</row>
    <row r="29" spans="2:24" x14ac:dyDescent="0.35"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</row>
    <row r="30" spans="2:24" x14ac:dyDescent="0.3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</row>
    <row r="31" spans="2:24" x14ac:dyDescent="0.35"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</row>
    <row r="32" spans="2:24" x14ac:dyDescent="0.35"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</row>
    <row r="33" spans="2:24" x14ac:dyDescent="0.35"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</row>
    <row r="34" spans="2:24" x14ac:dyDescent="0.35"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</row>
    <row r="35" spans="2:24" x14ac:dyDescent="0.35"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</row>
    <row r="36" spans="2:24" x14ac:dyDescent="0.35"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</row>
    <row r="37" spans="2:24" x14ac:dyDescent="0.3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</row>
    <row r="38" spans="2:24" x14ac:dyDescent="0.35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</row>
    <row r="39" spans="2:24" x14ac:dyDescent="0.35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</row>
    <row r="40" spans="2:24" x14ac:dyDescent="0.35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/>
    </row>
    <row r="41" spans="2:24" x14ac:dyDescent="0.35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6"/>
    </row>
    <row r="42" spans="2:24" x14ac:dyDescent="0.3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6"/>
    </row>
    <row r="43" spans="2:24" x14ac:dyDescent="0.35"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/>
    </row>
    <row r="44" spans="2:24" ht="15" thickBot="1" x14ac:dyDescent="0.4"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9"/>
    </row>
  </sheetData>
  <pageMargins left="0.7" right="0.7" top="0.75" bottom="0.75" header="0.3" footer="0.3"/>
  <pageSetup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3DD0-6C3B-406C-BC36-CA2175EC60B2}">
  <dimension ref="A2:B13"/>
  <sheetViews>
    <sheetView tabSelected="1" workbookViewId="0">
      <selection activeCell="D7" sqref="D7"/>
    </sheetView>
  </sheetViews>
  <sheetFormatPr defaultRowHeight="14.5" x14ac:dyDescent="0.35"/>
  <cols>
    <col min="1" max="1" width="15.81640625" bestFit="1" customWidth="1"/>
    <col min="2" max="2" width="20.90625" bestFit="1" customWidth="1"/>
  </cols>
  <sheetData>
    <row r="2" spans="1:2" x14ac:dyDescent="0.35">
      <c r="A2" s="25" t="s">
        <v>1051</v>
      </c>
      <c r="B2" s="25" t="s">
        <v>1052</v>
      </c>
    </row>
    <row r="3" spans="1:2" x14ac:dyDescent="0.35">
      <c r="A3" s="25" t="s">
        <v>1053</v>
      </c>
      <c r="B3" s="25" t="s">
        <v>1054</v>
      </c>
    </row>
    <row r="4" spans="1:2" x14ac:dyDescent="0.35">
      <c r="A4" s="26"/>
      <c r="B4" s="25" t="s">
        <v>1055</v>
      </c>
    </row>
    <row r="5" spans="1:2" x14ac:dyDescent="0.35">
      <c r="A5" s="26"/>
      <c r="B5" s="25" t="s">
        <v>1056</v>
      </c>
    </row>
    <row r="6" spans="1:2" x14ac:dyDescent="0.35">
      <c r="A6" s="26"/>
      <c r="B6" s="25" t="s">
        <v>1057</v>
      </c>
    </row>
    <row r="7" spans="1:2" x14ac:dyDescent="0.35">
      <c r="A7" s="25" t="s">
        <v>1058</v>
      </c>
      <c r="B7" s="25" t="s">
        <v>1059</v>
      </c>
    </row>
    <row r="8" spans="1:2" x14ac:dyDescent="0.35">
      <c r="A8" s="26"/>
      <c r="B8" s="25" t="s">
        <v>1060</v>
      </c>
    </row>
    <row r="9" spans="1:2" x14ac:dyDescent="0.35">
      <c r="A9" s="26"/>
      <c r="B9" s="25" t="s">
        <v>1061</v>
      </c>
    </row>
    <row r="10" spans="1:2" x14ac:dyDescent="0.35">
      <c r="A10" s="26"/>
      <c r="B10" s="25" t="s">
        <v>1062</v>
      </c>
    </row>
    <row r="11" spans="1:2" x14ac:dyDescent="0.35">
      <c r="A11" s="26"/>
      <c r="B11" s="25" t="s">
        <v>1063</v>
      </c>
    </row>
    <row r="12" spans="1:2" x14ac:dyDescent="0.35">
      <c r="A12" s="26"/>
      <c r="B12" s="25" t="s">
        <v>1064</v>
      </c>
    </row>
    <row r="13" spans="1:2" x14ac:dyDescent="0.35">
      <c r="A13" s="25" t="s">
        <v>1066</v>
      </c>
      <c r="B13" s="25" t="s">
        <v>1065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Dashboard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Navarro</dc:creator>
  <cp:lastModifiedBy>Ian Navarro</cp:lastModifiedBy>
  <cp:lastPrinted>2026-09-19T07:33:33Z</cp:lastPrinted>
  <dcterms:created xsi:type="dcterms:W3CDTF">2026-09-12T02:37:07Z</dcterms:created>
  <dcterms:modified xsi:type="dcterms:W3CDTF">2026-09-29T14:05:18Z</dcterms:modified>
</cp:coreProperties>
</file>